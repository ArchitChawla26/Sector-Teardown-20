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istoricals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ull" sheetId="5" state="visible" r:id="rId5"/>
    <sheet xmlns:r="http://schemas.openxmlformats.org/officeDocument/2006/relationships" name="DCF_Bear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Checks" sheetId="8" state="visible" r:id="rId8"/>
    <sheet xmlns:r="http://schemas.openxmlformats.org/officeDocument/2006/relationships" name="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%"/>
    <numFmt numFmtId="166" formatCode="#,##0.0"/>
    <numFmt numFmtId="167" formatCode="0.000"/>
    <numFmt numFmtId="168" formatCode="#,##0.0&quot;x&quot;"/>
  </numFmts>
  <fonts count="13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sz val="12"/>
    </font>
    <font>
      <name val="Calibri"/>
      <b val="1"/>
      <color rgb="00C00000"/>
      <sz val="12"/>
    </font>
    <font>
      <name val="Calibri"/>
      <sz val="11"/>
    </font>
    <font>
      <name val="Calibri"/>
      <b val="1"/>
      <sz val="11"/>
    </font>
    <font>
      <name val="Calibri"/>
      <i val="1"/>
      <color rgb="00595959"/>
      <sz val="9"/>
    </font>
    <font>
      <name val="Calibri"/>
      <b val="1"/>
      <color rgb="001F4E78"/>
      <sz val="11"/>
    </font>
    <font>
      <name val="Calibri"/>
      <b val="1"/>
      <sz val="9"/>
    </font>
    <font>
      <name val="Calibri"/>
      <color rgb="00595959"/>
      <sz val="9"/>
    </font>
    <font>
      <name val="Calibri"/>
      <b val="1"/>
      <color rgb="00FFFFFF"/>
      <sz val="11"/>
    </font>
    <font>
      <name val="Calibri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165" fontId="0" fillId="2" borderId="0" pivotButton="0" quotePrefix="0" xfId="0"/>
    <xf numFmtId="0" fontId="9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 wrapText="1"/>
    </xf>
    <xf numFmtId="2" fontId="0" fillId="2" borderId="0" pivotButton="0" quotePrefix="0" xfId="0"/>
    <xf numFmtId="165" fontId="0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166" fontId="0" fillId="2" borderId="0" pivotButton="0" quotePrefix="0" xfId="0"/>
    <xf numFmtId="0" fontId="11" fillId="5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8" fontId="0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https://finance.yahoo.com/quote/AVGO" TargetMode="External" Id="rId1"/><Relationship Type="http://schemas.openxmlformats.org/officeDocument/2006/relationships/hyperlink" Target="https://www.marketbeat.com/stocks/NASDAQ/AVGO/competitors-and-alternatives/" TargetMode="External" Id="rId2"/><Relationship Type="http://schemas.openxmlformats.org/officeDocument/2006/relationships/hyperlink" Target="https://finnhub.io/?q=%22AVGO%22" TargetMode="External" Id="rId3"/><Relationship Type="http://schemas.openxmlformats.org/officeDocument/2006/relationships/hyperlink" Target="https://www.reuters.com/business/wall-st-futures-climb-ai-stocks-rebound-oil-yields-fall-2026-10-19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0" customWidth="1" min="2" max="2"/>
    <col width="10" customWidth="1" min="3" max="3"/>
    <col width="10" customWidth="1" min="4" max="4"/>
  </cols>
  <sheetData>
    <row r="1" ht="24" customHeight="1">
      <c r="A1" s="1" t="inlineStr">
        <is>
          <t>Equity Research Teardown  —  Broadcom Inc. (NASDAQ: AVGO)</t>
        </is>
      </c>
    </row>
    <row r="2" ht="18" customHeight="1">
      <c r="A2" s="2" t="inlineStr">
        <is>
          <t>Independent equity research project by Archit Chawla  |  As of October 19, 2026</t>
        </is>
      </c>
    </row>
    <row r="4">
      <c r="A4" s="3" t="inlineStr">
        <is>
          <t>Current price (Oct 16, 2026 close)</t>
        </is>
      </c>
      <c r="B4" s="4" t="n">
        <v>328.75</v>
      </c>
    </row>
    <row r="5">
      <c r="A5" s="3" t="inlineStr">
        <is>
          <t>Recommendation</t>
        </is>
      </c>
      <c r="B5" s="5" t="inlineStr">
        <is>
          <t>PASS</t>
        </is>
      </c>
    </row>
    <row r="6">
      <c r="A6" s="3" t="inlineStr">
        <is>
          <t>One-line thesis</t>
        </is>
      </c>
      <c r="B6" s="6" t="inlineStr">
        <is>
          <t>AI networking plus a software cash machine — but the quote prices the VMware flywheel as fully derisked; my bull case is only fair value at today's rate regime.</t>
        </is>
      </c>
    </row>
    <row r="8">
      <c r="A8" s="7" t="inlineStr">
        <is>
          <t>Contents</t>
        </is>
      </c>
    </row>
    <row r="9">
      <c r="A9" s="7" t="inlineStr">
        <is>
          <t>Assumptions</t>
        </is>
      </c>
      <c r="B9" s="8" t="inlineStr">
        <is>
          <t>WACC build and all forecast drivers; [DATA] vs [JUDGMENT] tags</t>
        </is>
      </c>
    </row>
    <row r="10">
      <c r="A10" s="7" t="inlineStr">
        <is>
          <t>Historicals</t>
        </is>
      </c>
      <c r="B10" s="8" t="inlineStr">
        <is>
          <t>Financials from Yahoo Finance annual statements (FY2022–FY2025 (fiscal year ends October))</t>
        </is>
      </c>
    </row>
    <row r="11">
      <c r="A11" s="7" t="inlineStr">
        <is>
          <t>DCF_Base / DCF_Bull / DCF_Bear</t>
        </is>
      </c>
      <c r="B11" s="8" t="inlineStr">
        <is>
          <t>5-year DCF per case; all formulas live</t>
        </is>
      </c>
    </row>
    <row r="12">
      <c r="A12" s="7" t="inlineStr">
        <is>
          <t>Comps</t>
        </is>
      </c>
      <c r="B12" s="8" t="inlineStr">
        <is>
          <t>NVDA, AMD, ALAB: EV/Revenue, EV/EBITDA, P/E and implied ranges</t>
        </is>
      </c>
    </row>
    <row r="13">
      <c r="A13" s="7" t="inlineStr">
        <is>
          <t>Checks</t>
        </is>
      </c>
      <c r="B13" s="8" t="inlineStr">
        <is>
          <t>Verification appendix: tie-outs and data sources</t>
        </is>
      </c>
    </row>
    <row r="14">
      <c r="A14" s="7" t="inlineStr">
        <is>
          <t>Sources</t>
        </is>
      </c>
      <c r="B14" s="8" t="inlineStr">
        <is>
          <t>Full URLs and access dates</t>
        </is>
      </c>
    </row>
    <row r="16">
      <c r="A16" s="9" t="inlineStr">
        <is>
          <t>Disclaimer: Independent project for skill demonstration; not investment advice.</t>
        </is>
      </c>
    </row>
  </sheetData>
  <mergeCells count="3">
    <mergeCell ref="A1:D1"/>
    <mergeCell ref="A16:D1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60" customWidth="1" min="8" max="8"/>
  </cols>
  <sheetData>
    <row r="1" ht="24" customHeight="1">
      <c r="A1" s="1" t="inlineStr">
        <is>
          <t>Assumptions</t>
        </is>
      </c>
    </row>
    <row r="2" ht="18" customHeight="1">
      <c r="A2" s="2" t="inlineStr">
        <is>
          <t>Blue cells are inputs. [DATA] = market/filing data; [JUDGMENT] = analyst estimate with rationale.</t>
        </is>
      </c>
    </row>
    <row r="3">
      <c r="A3" s="10" t="inlineStr">
        <is>
          <t>WACC build</t>
        </is>
      </c>
    </row>
    <row r="4">
      <c r="A4" s="3" t="inlineStr">
        <is>
          <t>Risk-free rate (US 10Y)</t>
        </is>
      </c>
      <c r="B4" s="11" t="n">
        <v>0.051</v>
      </c>
      <c r="C4" s="12" t="inlineStr">
        <is>
          <t>[DATA]</t>
        </is>
      </c>
      <c r="D4" s="13" t="inlineStr">
        <is>
          <t>5.09% on 2026-10-19 (Reuters); rounded to 5.1%</t>
        </is>
      </c>
    </row>
    <row r="5">
      <c r="A5" s="3" t="inlineStr">
        <is>
          <t>Equity risk premium</t>
        </is>
      </c>
      <c r="B5" s="11" t="n">
        <v>0.045</v>
      </c>
      <c r="C5" s="14" t="inlineStr">
        <is>
          <t>[JUDGMENT]</t>
        </is>
      </c>
      <c r="D5" s="13" t="inlineStr">
        <is>
          <t>Long-run US ERP assumption</t>
        </is>
      </c>
    </row>
    <row r="6">
      <c r="A6" s="3" t="inlineStr">
        <is>
          <t>Beta (AVGO)</t>
        </is>
      </c>
      <c r="B6" s="15" t="n">
        <v>1.48</v>
      </c>
      <c r="C6" s="12" t="inlineStr">
        <is>
          <t>[DATA]</t>
        </is>
      </c>
      <c r="D6" s="13" t="inlineStr">
        <is>
          <t>Yahoo Finance 1.476 (2026-10-19); cross-checked MarketBeat 1.46, Finnhub 1.49</t>
        </is>
      </c>
    </row>
    <row r="7">
      <c r="A7" s="3" t="inlineStr">
        <is>
          <t>Cost of equity (CAPM)</t>
        </is>
      </c>
      <c r="B7" s="16">
        <f>Assumptions!$B$4+Assumptions!$B$6*Assumptions!$B$5</f>
        <v/>
      </c>
      <c r="C7" s="17" t="inlineStr">
        <is>
          <t>[CALC]</t>
        </is>
      </c>
      <c r="D7" s="13" t="inlineStr">
        <is>
          <t>Rf + beta × ERP</t>
        </is>
      </c>
    </row>
    <row r="8">
      <c r="A8" s="3" t="inlineStr">
        <is>
          <t>Pre-tax cost of debt</t>
        </is>
      </c>
      <c r="B8" s="11" t="n">
        <v>0.06</v>
      </c>
      <c r="C8" s="14" t="inlineStr">
        <is>
          <t>[JUDGMENT]</t>
        </is>
      </c>
      <c r="D8" s="13" t="inlineStr">
        <is>
          <t>BBB-grade, leveraged balance sheet; through-cycle new-issue estimate</t>
        </is>
      </c>
    </row>
    <row r="9">
      <c r="A9" s="3" t="inlineStr">
        <is>
          <t>Marginal tax rate</t>
        </is>
      </c>
      <c r="B9" s="11" t="n">
        <v>0.21</v>
      </c>
      <c r="C9" s="14" t="inlineStr">
        <is>
          <t>[JUDGMENT]</t>
        </is>
      </c>
      <c r="D9" s="13" t="inlineStr">
        <is>
          <t>US statutory; FY2025 provision was a –$397M benefit (valuation allowance) — normalized</t>
        </is>
      </c>
    </row>
    <row r="10">
      <c r="A10" s="3" t="inlineStr">
        <is>
          <t>After-tax cost of debt</t>
        </is>
      </c>
      <c r="B10" s="16">
        <f>Assumptions!$B$8*(1-Assumptions!$B$9)</f>
        <v/>
      </c>
      <c r="C10" s="17" t="inlineStr">
        <is>
          <t>[CALC]</t>
        </is>
      </c>
      <c r="D10" s="13" t="inlineStr"/>
    </row>
    <row r="11">
      <c r="A11" s="3" t="inlineStr">
        <is>
          <t>Market value of equity ($M)</t>
        </is>
      </c>
      <c r="B11" s="18" t="n">
        <v>1620074.6</v>
      </c>
      <c r="C11" s="12" t="inlineStr">
        <is>
          <t>[DATA]</t>
        </is>
      </c>
      <c r="D11" s="13" t="inlineStr">
        <is>
          <t>Yahoo Finance 2026-10-19 ($1.62T); price × shares cross-check: $1.57T</t>
        </is>
      </c>
    </row>
    <row r="12">
      <c r="A12" s="3" t="inlineStr">
        <is>
          <t>Book value of debt ($M)</t>
        </is>
      </c>
      <c r="B12" s="18" t="n">
        <v>59419</v>
      </c>
      <c r="C12" s="12" t="inlineStr">
        <is>
          <t>[DATA]</t>
        </is>
      </c>
      <c r="D12" s="13" t="inlineStr">
        <is>
          <t>Q3 FY2026 balance sheet (2026-07-31)</t>
        </is>
      </c>
    </row>
    <row r="13">
      <c r="A13" s="3" t="inlineStr">
        <is>
          <t>Weight of equity</t>
        </is>
      </c>
      <c r="B13" s="16">
        <f>Assumptions!$B$11/(Assumptions!$B$11+Assumptions!$B$12)</f>
        <v/>
      </c>
      <c r="C13" s="17" t="inlineStr">
        <is>
          <t>[CALC]</t>
        </is>
      </c>
      <c r="D13" s="13" t="inlineStr"/>
    </row>
    <row r="14">
      <c r="A14" s="3" t="inlineStr">
        <is>
          <t>Weight of debt</t>
        </is>
      </c>
      <c r="B14" s="16">
        <f>Assumptions!$B$12/(Assumptions!$B$11+Assumptions!$B$12)</f>
        <v/>
      </c>
      <c r="C14" s="17" t="inlineStr">
        <is>
          <t>[CALC]</t>
        </is>
      </c>
      <c r="D14" s="13" t="inlineStr"/>
    </row>
    <row r="15">
      <c r="A15" s="3" t="inlineStr">
        <is>
          <t>WACC — base case</t>
        </is>
      </c>
      <c r="B15" s="16">
        <f>Assumptions!$B$13*Assumptions!$B$7+Assumptions!$B$14*Assumptions!$B$10</f>
        <v/>
      </c>
      <c r="C15" s="17" t="inlineStr">
        <is>
          <t>[CALC]</t>
        </is>
      </c>
      <c r="D15" s="13" t="inlineStr"/>
    </row>
    <row r="16">
      <c r="A16" s="3" t="inlineStr">
        <is>
          <t>WACC — bull case (-100 bps)</t>
        </is>
      </c>
      <c r="B16" s="16">
        <f>Assumptions!$B$15-0.01</f>
        <v/>
      </c>
      <c r="C16" s="17" t="inlineStr">
        <is>
          <t>[CALC]</t>
        </is>
      </c>
      <c r="D16" s="13" t="inlineStr">
        <is>
          <t>Rate-normalization scenario</t>
        </is>
      </c>
    </row>
    <row r="17">
      <c r="A17" s="3" t="inlineStr">
        <is>
          <t>WACC — bear case (+100 bps)</t>
        </is>
      </c>
      <c r="B17" s="16">
        <f>Assumptions!$B$15+0.01</f>
        <v/>
      </c>
      <c r="C17" s="17" t="inlineStr">
        <is>
          <t>[CALC]</t>
        </is>
      </c>
      <c r="D17" s="13" t="inlineStr">
        <is>
          <t>Higher-for-longer scenario</t>
        </is>
      </c>
    </row>
    <row r="19">
      <c r="A19" s="10" t="inlineStr">
        <is>
          <t>Forecast drivers (FY2026–FY2030)</t>
        </is>
      </c>
    </row>
    <row r="20">
      <c r="B20" s="19" t="n">
        <v>2026</v>
      </c>
      <c r="C20" s="19" t="n">
        <v>2027</v>
      </c>
      <c r="D20" s="19" t="n">
        <v>2028</v>
      </c>
      <c r="E20" s="19" t="n">
        <v>2029</v>
      </c>
      <c r="F20" s="19" t="n">
        <v>2030</v>
      </c>
    </row>
    <row r="21">
      <c r="A21" s="3" t="inlineStr">
        <is>
          <t>Revenue growth — base</t>
        </is>
      </c>
      <c r="B21" s="11" t="n">
        <v>0.45</v>
      </c>
      <c r="C21" s="11" t="n">
        <v>0.3</v>
      </c>
      <c r="D21" s="11" t="n">
        <v>0.2</v>
      </c>
      <c r="E21" s="11" t="n">
        <v>0.15</v>
      </c>
      <c r="F21" s="11" t="n">
        <v>0.12</v>
      </c>
      <c r="G21" s="14" t="inlineStr">
        <is>
          <t>[JUDGMENT]</t>
        </is>
      </c>
      <c r="H21" s="13" t="inlineStr">
        <is>
          <t>Q3 FY2026 revenue +85.5% YoY ($29.59B); taper from FY2025 +23.9% (VMware comp annualizes)</t>
        </is>
      </c>
    </row>
    <row r="22">
      <c r="A22" s="3" t="inlineStr">
        <is>
          <t>Revenue growth — bull</t>
        </is>
      </c>
      <c r="B22" s="11" t="n">
        <v>0.55</v>
      </c>
      <c r="C22" s="11" t="n">
        <v>0.38</v>
      </c>
      <c r="D22" s="11" t="n">
        <v>0.28</v>
      </c>
      <c r="E22" s="11" t="n">
        <v>0.22</v>
      </c>
      <c r="F22" s="11" t="n">
        <v>0.18</v>
      </c>
      <c r="G22" s="14" t="inlineStr">
        <is>
          <t>[JUDGMENT]</t>
        </is>
      </c>
      <c r="H22" s="13" t="inlineStr">
        <is>
          <t>AI networking (XPU/Ethernet) plus VMware cross-sell sustains 30%+ growth</t>
        </is>
      </c>
    </row>
    <row r="23">
      <c r="A23" s="3" t="inlineStr">
        <is>
          <t>Revenue growth — bear</t>
        </is>
      </c>
      <c r="B23" s="11" t="n">
        <v>0.35</v>
      </c>
      <c r="C23" s="11" t="n">
        <v>0.18</v>
      </c>
      <c r="D23" s="11" t="n">
        <v>0.05</v>
      </c>
      <c r="E23" s="11" t="n">
        <v>-0.12</v>
      </c>
      <c r="F23" s="11" t="n">
        <v>0.08</v>
      </c>
      <c r="G23" s="14" t="inlineStr">
        <is>
          <t>[JUDGMENT]</t>
        </is>
      </c>
      <c r="H23" s="13" t="inlineStr">
        <is>
          <t>Semi down-cycle in FY2029 (−12%): enterprise IT digestion after the AI build-out</t>
        </is>
      </c>
    </row>
    <row r="24">
      <c r="A24" s="3" t="inlineStr">
        <is>
          <t>EBITDA margin — base</t>
        </is>
      </c>
      <c r="B24" s="11" t="n">
        <v>0.55</v>
      </c>
      <c r="C24" s="11" t="n">
        <v>0.5600000000000001</v>
      </c>
      <c r="D24" s="11" t="n">
        <v>0.57</v>
      </c>
      <c r="E24" s="11" t="n">
        <v>0.58</v>
      </c>
      <c r="F24" s="11" t="n">
        <v>0.59</v>
      </c>
      <c r="G24" s="14" t="inlineStr">
        <is>
          <t>[JUDGMENT]</t>
        </is>
      </c>
      <c r="H24" s="13" t="inlineStr">
        <is>
          <t>FY2025 EBITDA margin 54.3%; expand toward 59% on software/VMware mix</t>
        </is>
      </c>
    </row>
    <row r="25">
      <c r="A25" s="3" t="inlineStr">
        <is>
          <t>EBITDA margin — bull</t>
        </is>
      </c>
      <c r="B25" s="11" t="n">
        <v>0.57</v>
      </c>
      <c r="C25" s="11" t="n">
        <v>0.59</v>
      </c>
      <c r="D25" s="11" t="n">
        <v>0.6</v>
      </c>
      <c r="E25" s="11" t="n">
        <v>0.61</v>
      </c>
      <c r="F25" s="11" t="n">
        <v>0.62</v>
      </c>
      <c r="G25" s="14" t="inlineStr">
        <is>
          <t>[JUDGMENT]</t>
        </is>
      </c>
      <c r="H25" s="13" t="inlineStr">
        <is>
          <t>Faster operating leverage as VMware margins fully annualize</t>
        </is>
      </c>
    </row>
    <row r="26">
      <c r="A26" s="3" t="inlineStr">
        <is>
          <t>EBITDA margin — bear</t>
        </is>
      </c>
      <c r="B26" s="11" t="n">
        <v>0.52</v>
      </c>
      <c r="C26" s="11" t="n">
        <v>0.51</v>
      </c>
      <c r="D26" s="11" t="n">
        <v>0.5</v>
      </c>
      <c r="E26" s="11" t="n">
        <v>0.49</v>
      </c>
      <c r="F26" s="11" t="n">
        <v>0.5</v>
      </c>
      <c r="G26" s="14" t="inlineStr">
        <is>
          <t>[JUDGMENT]</t>
        </is>
      </c>
      <c r="H26" s="13" t="inlineStr">
        <is>
          <t>Margin pressure from pricing competition and mix shift in the down year</t>
        </is>
      </c>
    </row>
    <row r="28">
      <c r="A28" s="3" t="inlineStr">
        <is>
          <t>D&amp;A (% of revenue)</t>
        </is>
      </c>
      <c r="B28" s="11" t="n">
        <v>0.12</v>
      </c>
      <c r="G28" s="14" t="inlineStr">
        <is>
          <t>[JUDGMENT]</t>
        </is>
      </c>
      <c r="H28" s="13" t="inlineStr">
        <is>
          <t>FY2025: 13.7% of revenue (VMware intangibles amortizing); declining</t>
        </is>
      </c>
    </row>
    <row r="29">
      <c r="A29" s="3" t="inlineStr">
        <is>
          <t>Stock-based comp. (% of revenue)</t>
        </is>
      </c>
      <c r="B29" s="11" t="n">
        <v>0.105</v>
      </c>
      <c r="C29" s="11" t="n">
        <v>0.095</v>
      </c>
      <c r="D29" s="11" t="n">
        <v>0.08500000000000001</v>
      </c>
      <c r="E29" s="11" t="n">
        <v>0.075</v>
      </c>
      <c r="F29" s="11" t="n">
        <v>0.07000000000000001</v>
      </c>
      <c r="G29" s="14" t="inlineStr">
        <is>
          <t>[JUDGMENT]</t>
        </is>
      </c>
      <c r="H29" s="13" t="inlineStr">
        <is>
          <t>FY2025: 11.8% of revenue; elevated post-VMware, normalizing</t>
        </is>
      </c>
    </row>
    <row r="30">
      <c r="A30" s="3" t="inlineStr">
        <is>
          <t>Capex (% of revenue)</t>
        </is>
      </c>
      <c r="B30" s="11" t="n">
        <v>0.01</v>
      </c>
      <c r="G30" s="14" t="inlineStr">
        <is>
          <t>[JUDGMENT]</t>
        </is>
      </c>
      <c r="H30" s="13" t="inlineStr">
        <is>
          <t>FY2025: 1.0% of revenue (fabless + asset-light software)</t>
        </is>
      </c>
    </row>
    <row r="31">
      <c r="A31" s="3" t="inlineStr">
        <is>
          <t>Change in NWC (% of revenue growth)</t>
        </is>
      </c>
      <c r="B31" s="11" t="n">
        <v>0.05</v>
      </c>
      <c r="G31" s="14" t="inlineStr">
        <is>
          <t>[JUDGMENT]</t>
        </is>
      </c>
      <c r="H31" s="13" t="inlineStr">
        <is>
          <t>Receivables/inventory scale with semi activity</t>
        </is>
      </c>
    </row>
    <row r="32">
      <c r="A32" s="3" t="inlineStr">
        <is>
          <t>Terminal growth — base</t>
        </is>
      </c>
      <c r="B32" s="11" t="n">
        <v>0.03</v>
      </c>
      <c r="G32" s="14" t="inlineStr">
        <is>
          <t>[JUDGMENT]</t>
        </is>
      </c>
      <c r="H32" s="13" t="inlineStr">
        <is>
          <t>Long-run nominal GDP</t>
        </is>
      </c>
    </row>
    <row r="33">
      <c r="A33" s="3" t="inlineStr">
        <is>
          <t>Terminal growth — bull</t>
        </is>
      </c>
      <c r="B33" s="11" t="n">
        <v>0.035</v>
      </c>
      <c r="G33" s="14" t="inlineStr">
        <is>
          <t>[JUDGMENT]</t>
        </is>
      </c>
      <c r="H33" s="13" t="inlineStr"/>
    </row>
    <row r="34">
      <c r="A34" s="3" t="inlineStr">
        <is>
          <t>Terminal growth — bear</t>
        </is>
      </c>
      <c r="B34" s="11" t="n">
        <v>0.02</v>
      </c>
      <c r="G34" s="14" t="inlineStr">
        <is>
          <t>[JUDGMENT]</t>
        </is>
      </c>
      <c r="H34" s="13" t="inlineStr"/>
    </row>
    <row r="35">
      <c r="A35" s="3" t="inlineStr">
        <is>
          <t>Net debt ($M)</t>
        </is>
      </c>
      <c r="B35" s="18" t="n">
        <v>35444</v>
      </c>
      <c r="G35" s="12" t="inlineStr">
        <is>
          <t>[DATA]</t>
        </is>
      </c>
      <c r="H35" s="13" t="inlineStr">
        <is>
          <t>Q3 FY2026 (2026-07-31): total debt $59,419M less cash &amp; equivalents $23,975M</t>
        </is>
      </c>
    </row>
    <row r="36">
      <c r="A36" s="3" t="inlineStr">
        <is>
          <t>Diluted shares outstanding (M)</t>
        </is>
      </c>
      <c r="B36" s="18" t="n">
        <v>4773.6</v>
      </c>
      <c r="G36" s="12" t="inlineStr">
        <is>
          <t>[DATA]</t>
        </is>
      </c>
      <c r="H36" s="13" t="inlineStr">
        <is>
          <t>Yahoo Finance sharesOutstanding, Oct 2026 (FY2025 diluted weighted avg: 4,853M)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1" t="inlineStr">
        <is>
          <t>Historical financials — AVGO</t>
        </is>
      </c>
    </row>
    <row r="2" ht="18" customHeight="1">
      <c r="A2" s="2" t="inlineStr">
        <is>
          <t>$ millions. Source: Yahoo Finance annual statements (filing-derived), as of 2026-10-19. FY2021 column blank in the Yahoo Finance pull — excluded.</t>
        </is>
      </c>
    </row>
    <row r="3">
      <c r="A3" s="20" t="inlineStr"/>
      <c r="B3" s="20" t="n">
        <v>2022</v>
      </c>
      <c r="C3" s="20" t="n">
        <v>2023</v>
      </c>
      <c r="D3" s="20" t="n">
        <v>2024</v>
      </c>
      <c r="E3" s="20" t="n">
        <v>2025</v>
      </c>
    </row>
    <row r="4">
      <c r="A4" s="3" t="inlineStr">
        <is>
          <t>Total revenue</t>
        </is>
      </c>
      <c r="B4" s="21" t="n">
        <v>33203</v>
      </c>
      <c r="C4" s="21" t="n">
        <v>35819</v>
      </c>
      <c r="D4" s="21" t="n">
        <v>51574</v>
      </c>
      <c r="E4" s="21" t="n">
        <v>63887</v>
      </c>
    </row>
    <row r="5">
      <c r="A5" s="3" t="inlineStr">
        <is>
          <t>Gross profit</t>
        </is>
      </c>
      <c r="B5" s="21" t="n">
        <v>22095</v>
      </c>
      <c r="C5" s="21" t="n">
        <v>24690</v>
      </c>
      <c r="D5" s="21" t="n">
        <v>32509</v>
      </c>
      <c r="E5" s="21" t="n">
        <v>43294</v>
      </c>
    </row>
    <row r="6">
      <c r="A6" s="3" t="inlineStr">
        <is>
          <t>EBITDA</t>
        </is>
      </c>
      <c r="B6" s="21" t="n">
        <v>19155</v>
      </c>
      <c r="C6" s="21" t="n">
        <v>20554</v>
      </c>
      <c r="D6" s="21" t="n">
        <v>23879</v>
      </c>
      <c r="E6" s="21" t="n">
        <v>34714</v>
      </c>
    </row>
    <row r="7">
      <c r="A7" s="3" t="inlineStr">
        <is>
          <t>EBITDA margin</t>
        </is>
      </c>
      <c r="B7" s="16">
        <f>B6/B4</f>
        <v/>
      </c>
      <c r="C7" s="16">
        <f>C6/C4</f>
        <v/>
      </c>
      <c r="D7" s="16">
        <f>D6/D4</f>
        <v/>
      </c>
      <c r="E7" s="16">
        <f>E6/E4</f>
        <v/>
      </c>
    </row>
    <row r="8">
      <c r="A8" s="3" t="inlineStr">
        <is>
          <t>Operating income</t>
        </is>
      </c>
      <c r="B8" s="21" t="n">
        <v>14282</v>
      </c>
      <c r="C8" s="21" t="n">
        <v>16451</v>
      </c>
      <c r="D8" s="21" t="n">
        <v>14996</v>
      </c>
      <c r="E8" s="21" t="n">
        <v>26075</v>
      </c>
    </row>
    <row r="9">
      <c r="A9" s="3" t="inlineStr">
        <is>
          <t>Net income</t>
        </is>
      </c>
      <c r="B9" s="21" t="n">
        <v>11495</v>
      </c>
      <c r="C9" s="21" t="n">
        <v>14082</v>
      </c>
      <c r="D9" s="21" t="n">
        <v>5895</v>
      </c>
      <c r="E9" s="21" t="n">
        <v>23126</v>
      </c>
    </row>
    <row r="10">
      <c r="A10" s="3" t="inlineStr">
        <is>
          <t>Diluted average shares (M)</t>
        </is>
      </c>
      <c r="B10" s="21" t="n">
        <v>4230</v>
      </c>
      <c r="C10" s="21" t="n">
        <v>4270</v>
      </c>
      <c r="D10" s="21" t="n">
        <v>4778</v>
      </c>
      <c r="E10" s="21" t="n">
        <v>4853</v>
      </c>
    </row>
    <row r="11">
      <c r="A11" s="3" t="inlineStr">
        <is>
          <t>Operating cash flow</t>
        </is>
      </c>
      <c r="B11" s="21" t="n">
        <v>16736</v>
      </c>
      <c r="C11" s="21" t="n">
        <v>18085</v>
      </c>
      <c r="D11" s="21" t="n">
        <v>19962</v>
      </c>
      <c r="E11" s="21" t="n">
        <v>27537</v>
      </c>
    </row>
    <row r="12">
      <c r="A12" s="3" t="inlineStr">
        <is>
          <t>Capital expenditures</t>
        </is>
      </c>
      <c r="B12" s="21" t="n">
        <v>-424</v>
      </c>
      <c r="C12" s="21" t="n">
        <v>-452</v>
      </c>
      <c r="D12" s="21" t="n">
        <v>-548</v>
      </c>
      <c r="E12" s="21" t="n">
        <v>-623</v>
      </c>
    </row>
    <row r="13">
      <c r="A13" s="3" t="inlineStr">
        <is>
          <t>Free cash flow</t>
        </is>
      </c>
      <c r="B13" s="21" t="n">
        <v>16312</v>
      </c>
      <c r="C13" s="21" t="n">
        <v>17633</v>
      </c>
      <c r="D13" s="21" t="n">
        <v>19414</v>
      </c>
      <c r="E13" s="21" t="n">
        <v>26914</v>
      </c>
    </row>
    <row r="14">
      <c r="A14" s="3" t="inlineStr">
        <is>
          <t>Cash &amp; equivalents</t>
        </is>
      </c>
      <c r="B14" s="21" t="n">
        <v>12416</v>
      </c>
      <c r="C14" s="21" t="n">
        <v>14189</v>
      </c>
      <c r="D14" s="21" t="n">
        <v>9348</v>
      </c>
      <c r="E14" s="21" t="n">
        <v>16178</v>
      </c>
    </row>
    <row r="15">
      <c r="A15" s="3" t="inlineStr">
        <is>
          <t>Total debt</t>
        </is>
      </c>
      <c r="B15" s="21" t="n">
        <v>39515</v>
      </c>
      <c r="C15" s="21" t="n">
        <v>39229</v>
      </c>
      <c r="D15" s="21" t="n">
        <v>67566</v>
      </c>
      <c r="E15" s="21" t="n">
        <v>65136</v>
      </c>
    </row>
    <row r="16">
      <c r="A16" s="3" t="inlineStr">
        <is>
          <t>Revenue growth</t>
        </is>
      </c>
      <c r="B16" s="16" t="n"/>
      <c r="C16" s="16">
        <f>C4/B4-1</f>
        <v/>
      </c>
      <c r="D16" s="16">
        <f>D4/C4-1</f>
        <v/>
      </c>
      <c r="E16" s="16">
        <f>E4/D4-1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Broadcom Inc. (AVGO) — Discounted cash flow — base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Historicals!$E$4*(1+Assumptions!B$21)</f>
        <v/>
      </c>
      <c r="C4" s="21">
        <f>B4*(1+Assumptions!C$21)</f>
        <v/>
      </c>
      <c r="D4" s="21">
        <f>C4*(1+Assumptions!D$21)</f>
        <v/>
      </c>
      <c r="E4" s="21">
        <f>D4*(1+Assumptions!E$21)</f>
        <v/>
      </c>
      <c r="F4" s="21">
        <f>E4*(1+Assumptions!F$21)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Assumptions!B$24</f>
        <v/>
      </c>
      <c r="C6" s="16">
        <f>Assumptions!C$24</f>
        <v/>
      </c>
      <c r="D6" s="16">
        <f>Assumptions!D$24</f>
        <v/>
      </c>
      <c r="E6" s="16">
        <f>Assumptions!E$24</f>
        <v/>
      </c>
      <c r="F6" s="16">
        <f>Assumptions!F$24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1/(1+Assumptions!$B$15)^1</f>
        <v/>
      </c>
      <c r="C17" s="22">
        <f>1/(1+Assumptions!$B$15)^2</f>
        <v/>
      </c>
      <c r="D17" s="22">
        <f>1/(1+Assumptions!$B$15)^3</f>
        <v/>
      </c>
      <c r="E17" s="22">
        <f>1/(1+Assumptions!$B$15)^4</f>
        <v/>
      </c>
      <c r="F17" s="22">
        <f>1/(1+Assumptions!$B$15)^5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F16*(1+Assumptions!$B$32)/(Assumptions!$B$15-Assumptions!$B$32)</f>
        <v/>
      </c>
    </row>
    <row r="21">
      <c r="A21" s="3" t="inlineStr">
        <is>
          <t>PV of terminal value</t>
        </is>
      </c>
      <c r="B21" s="21">
        <f>B20/(1+Assumptions!$B$15)^5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Broadcom Inc. (AVGO) — Discounted cash flow — bull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Historicals!$E$4*(1+Assumptions!B$22)</f>
        <v/>
      </c>
      <c r="C4" s="21">
        <f>B4*(1+Assumptions!C$22)</f>
        <v/>
      </c>
      <c r="D4" s="21">
        <f>C4*(1+Assumptions!D$22)</f>
        <v/>
      </c>
      <c r="E4" s="21">
        <f>D4*(1+Assumptions!E$22)</f>
        <v/>
      </c>
      <c r="F4" s="21">
        <f>E4*(1+Assumptions!F$22)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Assumptions!B$25</f>
        <v/>
      </c>
      <c r="C6" s="16">
        <f>Assumptions!C$25</f>
        <v/>
      </c>
      <c r="D6" s="16">
        <f>Assumptions!D$25</f>
        <v/>
      </c>
      <c r="E6" s="16">
        <f>Assumptions!E$25</f>
        <v/>
      </c>
      <c r="F6" s="16">
        <f>Assumptions!F$25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1/(1+Assumptions!$B$16)^1</f>
        <v/>
      </c>
      <c r="C17" s="22">
        <f>1/(1+Assumptions!$B$16)^2</f>
        <v/>
      </c>
      <c r="D17" s="22">
        <f>1/(1+Assumptions!$B$16)^3</f>
        <v/>
      </c>
      <c r="E17" s="22">
        <f>1/(1+Assumptions!$B$16)^4</f>
        <v/>
      </c>
      <c r="F17" s="22">
        <f>1/(1+Assumptions!$B$16)^5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F16*(1+Assumptions!$B$33)/(Assumptions!$B$16-Assumptions!$B$33)</f>
        <v/>
      </c>
    </row>
    <row r="21">
      <c r="A21" s="3" t="inlineStr">
        <is>
          <t>PV of terminal value</t>
        </is>
      </c>
      <c r="B21" s="21">
        <f>B20/(1+Assumptions!$B$16)^5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Broadcom Inc. (AVGO) — Discounted cash flow — bear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Historicals!$E$4*(1+Assumptions!B$23)</f>
        <v/>
      </c>
      <c r="C4" s="21">
        <f>B4*(1+Assumptions!C$23)</f>
        <v/>
      </c>
      <c r="D4" s="21">
        <f>C4*(1+Assumptions!D$23)</f>
        <v/>
      </c>
      <c r="E4" s="21">
        <f>D4*(1+Assumptions!E$23)</f>
        <v/>
      </c>
      <c r="F4" s="21">
        <f>E4*(1+Assumptions!F$23)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Assumptions!B$26</f>
        <v/>
      </c>
      <c r="C6" s="16">
        <f>Assumptions!C$26</f>
        <v/>
      </c>
      <c r="D6" s="16">
        <f>Assumptions!D$26</f>
        <v/>
      </c>
      <c r="E6" s="16">
        <f>Assumptions!E$26</f>
        <v/>
      </c>
      <c r="F6" s="16">
        <f>Assumptions!F$26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1/(1+Assumptions!$B$17)^1</f>
        <v/>
      </c>
      <c r="C17" s="22">
        <f>1/(1+Assumptions!$B$17)^2</f>
        <v/>
      </c>
      <c r="D17" s="22">
        <f>1/(1+Assumptions!$B$17)^3</f>
        <v/>
      </c>
      <c r="E17" s="22">
        <f>1/(1+Assumptions!$B$17)^4</f>
        <v/>
      </c>
      <c r="F17" s="22">
        <f>1/(1+Assumptions!$B$17)^5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F16*(1+Assumptions!$B$34)/(Assumptions!$B$17-Assumptions!$B$34)</f>
        <v/>
      </c>
    </row>
    <row r="21">
      <c r="A21" s="3" t="inlineStr">
        <is>
          <t>PV of terminal value</t>
        </is>
      </c>
      <c r="B21" s="21">
        <f>B20/(1+Assumptions!$B$17)^5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6" max="6"/>
  </cols>
  <sheetData>
    <row r="1" ht="24" customHeight="1">
      <c r="A1" s="1" t="inlineStr">
        <is>
          <t>Comparable companies — AI infrastructure &amp; semiconductors</t>
        </is>
      </c>
    </row>
    <row r="2" ht="18" customHeight="1">
      <c r="A2" s="2" t="inlineStr">
        <is>
          <t>Market data as of 2026-10-16 (Yahoo Finance, frozen in data/). $ millions, except price and per-share.</t>
        </is>
      </c>
    </row>
    <row r="3">
      <c r="A3" s="20" t="inlineStr"/>
      <c r="B3" s="20" t="inlineStr">
        <is>
          <t>AVGO</t>
        </is>
      </c>
      <c r="C3" s="20" t="inlineStr">
        <is>
          <t>NVDA</t>
        </is>
      </c>
      <c r="D3" s="20" t="inlineStr">
        <is>
          <t>AMD</t>
        </is>
      </c>
      <c r="E3" s="20" t="inlineStr">
        <is>
          <t>ALAB</t>
        </is>
      </c>
    </row>
    <row r="4">
      <c r="A4" s="3" t="inlineStr">
        <is>
          <t>Price ($, Oct 16 close)</t>
        </is>
      </c>
      <c r="B4" s="23" t="n">
        <v>328.75</v>
      </c>
      <c r="C4" s="23" t="n">
        <v>214.13</v>
      </c>
      <c r="D4" s="23" t="n">
        <v>528.75</v>
      </c>
      <c r="E4" s="23" t="n">
        <v>285.82</v>
      </c>
    </row>
    <row r="5">
      <c r="A5" s="3" t="inlineStr">
        <is>
          <t>Market cap ($M)</t>
        </is>
      </c>
      <c r="B5" s="21" t="n">
        <v>1620074.6</v>
      </c>
      <c r="C5" s="21" t="n">
        <v>5278775.4</v>
      </c>
      <c r="D5" s="21" t="n">
        <v>902049.6</v>
      </c>
      <c r="E5" s="21" t="n">
        <v>50829.4</v>
      </c>
    </row>
    <row r="6">
      <c r="A6" s="3" t="inlineStr">
        <is>
          <t>Enterprise value ($M)</t>
        </is>
      </c>
      <c r="B6" s="21" t="n">
        <v>1604774.8</v>
      </c>
      <c r="C6" s="21" t="n">
        <v>5136924</v>
      </c>
      <c r="D6" s="21" t="n">
        <v>854336.2</v>
      </c>
      <c r="E6" s="21" t="n">
        <v>48377</v>
      </c>
    </row>
    <row r="7">
      <c r="A7" s="3" t="inlineStr">
        <is>
          <t>Revenue, TTM ($M)</t>
        </is>
      </c>
      <c r="B7" s="21" t="n">
        <v>89104</v>
      </c>
      <c r="C7" s="21" t="n">
        <v>302970</v>
      </c>
      <c r="D7" s="21" t="n">
        <v>41305</v>
      </c>
      <c r="E7" s="21" t="n">
        <v>1201.9</v>
      </c>
    </row>
    <row r="8">
      <c r="A8" s="3" t="inlineStr">
        <is>
          <t>EBITDA, TTM ($M)</t>
        </is>
      </c>
      <c r="B8" s="21" t="n">
        <v>52260</v>
      </c>
      <c r="C8" s="21" t="n">
        <v>201266</v>
      </c>
      <c r="D8" s="21" t="n">
        <v>9562</v>
      </c>
      <c r="E8" s="21" t="n">
        <v>285.4</v>
      </c>
    </row>
    <row r="9">
      <c r="A9" s="3" t="inlineStr">
        <is>
          <t>Forward EPS ($)</t>
        </is>
      </c>
      <c r="B9" s="23" t="n">
        <v>19.397</v>
      </c>
      <c r="C9" s="23" t="n">
        <v>15.9146</v>
      </c>
      <c r="D9" s="23" t="n">
        <v>15.7621</v>
      </c>
      <c r="E9" s="23" t="n">
        <v>6.4031</v>
      </c>
    </row>
    <row r="10">
      <c r="A10" s="3" t="inlineStr">
        <is>
          <t>EV / Revenue</t>
        </is>
      </c>
      <c r="B10" s="24">
        <f>B6/B7</f>
        <v/>
      </c>
      <c r="C10" s="24">
        <f>C6/C7</f>
        <v/>
      </c>
      <c r="D10" s="24">
        <f>D6/D7</f>
        <v/>
      </c>
      <c r="E10" s="24">
        <f>E6/E7</f>
        <v/>
      </c>
    </row>
    <row r="11">
      <c r="A11" s="3" t="inlineStr">
        <is>
          <t>EV / EBITDA</t>
        </is>
      </c>
      <c r="B11" s="24">
        <f>B6/B8</f>
        <v/>
      </c>
      <c r="C11" s="24">
        <f>C6/C8</f>
        <v/>
      </c>
      <c r="D11" s="24">
        <f>D6/D8</f>
        <v/>
      </c>
      <c r="E11" s="24">
        <f>E6/E8</f>
        <v/>
      </c>
    </row>
    <row r="12">
      <c r="A12" s="3" t="inlineStr">
        <is>
          <t>Trailing P/E</t>
        </is>
      </c>
      <c r="B12" s="24" t="n">
        <v>43.34</v>
      </c>
      <c r="C12" s="24" t="n">
        <v>27.64</v>
      </c>
      <c r="D12" s="24" t="n">
        <v>140.96</v>
      </c>
      <c r="E12" s="24" t="n">
        <v>144.33</v>
      </c>
    </row>
    <row r="13">
      <c r="A13" s="3" t="inlineStr">
        <is>
          <t>Forward P/E</t>
        </is>
      </c>
      <c r="B13" s="24">
        <f>B4/B9</f>
        <v/>
      </c>
      <c r="C13" s="24">
        <f>C4/C9</f>
        <v/>
      </c>
      <c r="D13" s="24">
        <f>D4/D9</f>
        <v/>
      </c>
      <c r="E13" s="24">
        <f>E4/E9</f>
        <v/>
      </c>
    </row>
    <row r="15">
      <c r="A15" s="10" t="inlineStr">
        <is>
          <t>AVGO implied valuation from peer multiples</t>
        </is>
      </c>
    </row>
    <row r="16">
      <c r="A16" s="3" t="inlineStr">
        <is>
          <t>Median peer EV / Revenue</t>
        </is>
      </c>
      <c r="B16" s="24">
        <f>MEDIAN(C10:E10)</f>
        <v/>
      </c>
    </row>
    <row r="17">
      <c r="A17" s="3" t="inlineStr">
        <is>
          <t>Implied EV ($M)</t>
        </is>
      </c>
      <c r="B17" s="21">
        <f>B16*B7</f>
        <v/>
      </c>
    </row>
    <row r="18">
      <c r="A18" s="3" t="inlineStr">
        <is>
          <t>Less: Net debt ($M)</t>
        </is>
      </c>
      <c r="B18" s="21">
        <f>Assumptions!$B$35</f>
        <v/>
      </c>
    </row>
    <row r="19">
      <c r="A19" s="3" t="inlineStr">
        <is>
          <t>Implied equity ($M)</t>
        </is>
      </c>
      <c r="B19" s="21">
        <f>B17-B18</f>
        <v/>
      </c>
    </row>
    <row r="20">
      <c r="A20" s="7" t="inlineStr">
        <is>
          <t>Implied per share — EV/Revenue ($)</t>
        </is>
      </c>
      <c r="B20" s="23">
        <f>B19/Assumptions!$B$36</f>
        <v/>
      </c>
      <c r="C20" s="25" t="inlineStr">
        <is>
          <t>[JUDGMENT] Operative comps lens: EV/Revenue at median peer 20.7x → $378.60. Peer EV/EBITDA is distorted by AMD/ALAB growth-phase multiples.</t>
        </is>
      </c>
    </row>
    <row r="22">
      <c r="A22" s="3" t="inlineStr">
        <is>
          <t>Median peer EV / EBITDA</t>
        </is>
      </c>
      <c r="B22" s="24">
        <f>MEDIAN(C11:E11)</f>
        <v/>
      </c>
    </row>
    <row r="23">
      <c r="A23" s="3" t="inlineStr">
        <is>
          <t>Implied EV ($M)</t>
        </is>
      </c>
      <c r="B23" s="21">
        <f>B22*B8</f>
        <v/>
      </c>
    </row>
    <row r="24">
      <c r="A24" s="3" t="inlineStr">
        <is>
          <t>Implied equity ($M)</t>
        </is>
      </c>
      <c r="B24" s="21">
        <f>B22-Assumptions!$B$35</f>
        <v/>
      </c>
    </row>
    <row r="25">
      <c r="A25" s="10" t="inlineStr">
        <is>
          <t>Implied per share — EV/EBITDA ($)</t>
        </is>
      </c>
      <c r="B25" s="23">
        <f>B24/Assumptions!$B$36</f>
        <v/>
      </c>
      <c r="C25" s="25" t="inlineStr">
        <is>
          <t>Shown for reference; median peer EV/EBITDA (89.3x) is dominated by AMD/ALAB growth-phase multiples — not the operative lens.</t>
        </is>
      </c>
    </row>
    <row r="27">
      <c r="A27" s="3" t="inlineStr">
        <is>
          <t>Median peer forward P/E</t>
        </is>
      </c>
      <c r="B27" s="24">
        <f>MEDIAN(C13:F13)</f>
        <v/>
      </c>
    </row>
    <row r="28">
      <c r="A28" s="3" t="inlineStr">
        <is>
          <t>AVGO forward EPS ($)</t>
        </is>
      </c>
      <c r="B28" s="23">
        <f>B9</f>
        <v/>
      </c>
    </row>
    <row r="29">
      <c r="A29" s="7" t="inlineStr">
        <is>
          <t>Implied per share — forward P/E ($)</t>
        </is>
      </c>
      <c r="B29" s="23">
        <f>B27*B28</f>
        <v/>
      </c>
      <c r="C29" s="25" t="inlineStr">
        <is>
          <t>Forward P/E shown for reference; DCF is the primary lens.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0" customWidth="1" min="2" max="2"/>
    <col width="12" customWidth="1" min="3" max="3"/>
    <col width="10" customWidth="1" min="4" max="4"/>
  </cols>
  <sheetData>
    <row r="1" ht="24" customHeight="1">
      <c r="A1" s="1" t="inlineStr">
        <is>
          <t>Verification appendix</t>
        </is>
      </c>
    </row>
    <row r="2" ht="18" customHeight="1">
      <c r="A2" s="2" t="inlineStr">
        <is>
          <t>Tie-outs and data provenance. Every [DATA] input is sourced; every [JUDGMENT] input carries a rationale on Assumptions.</t>
        </is>
      </c>
    </row>
    <row r="3">
      <c r="A3" s="20" t="inlineStr">
        <is>
          <t>Check</t>
        </is>
      </c>
      <c r="B3" s="20" t="inlineStr">
        <is>
          <t>Detail</t>
        </is>
      </c>
      <c r="C3" s="20" t="inlineStr">
        <is>
          <t>Status</t>
        </is>
      </c>
      <c r="D3" s="20" t="n"/>
    </row>
    <row r="4" ht="30" customHeight="1">
      <c r="A4" s="26" t="inlineStr">
        <is>
          <t>Net income ties across statements</t>
        </is>
      </c>
      <c r="B4" s="8" t="inlineStr">
        <is>
          <t>Cash-flow 'Net Income From Continuing Operations' = income-statement net income for FY2022–FY2025 (max diff $0.0M)</t>
        </is>
      </c>
      <c r="C4" s="27" t="inlineStr">
        <is>
          <t>PASS</t>
        </is>
      </c>
    </row>
    <row r="5" ht="30" customHeight="1">
      <c r="A5" s="26" t="inlineStr">
        <is>
          <t>Revenue sourced from filings</t>
        </is>
      </c>
      <c r="B5" s="8" t="inlineStr">
        <is>
          <t>FY2022–FY2025 total revenue 33,203.0 / 35,819.0 / 51,574.0 / 63,887.0 ($M) from Yahoo Finance annual income statement; FY2021 column blank in source — excluded</t>
        </is>
      </c>
      <c r="C5" s="27" t="inlineStr">
        <is>
          <t>PASS</t>
        </is>
      </c>
    </row>
    <row r="6" ht="30" customHeight="1">
      <c r="A6" s="26" t="inlineStr">
        <is>
          <t>Share count</t>
        </is>
      </c>
      <c r="B6" s="8" t="inlineStr">
        <is>
          <t>4,773.6M outstanding (Yahoo Finance, Oct 2026); FY2025 diluted weighted avg 4,853M (10-K via Yahoo). Delta &lt;2%</t>
        </is>
      </c>
      <c r="C6" s="27" t="inlineStr">
        <is>
          <t>PASS</t>
        </is>
      </c>
    </row>
    <row r="7" ht="30" customHeight="1">
      <c r="A7" s="26" t="inlineStr">
        <is>
          <t>Net debt bridge</t>
        </is>
      </c>
      <c r="B7" s="8" t="inlineStr">
        <is>
          <t>Q3 FY2026 balance sheet (2026-07-31): total debt $59,419M less cash &amp; equivalents $23,975M = net debt $35,444M</t>
        </is>
      </c>
      <c r="C7" s="27" t="inlineStr">
        <is>
          <t>PASS</t>
        </is>
      </c>
    </row>
    <row r="8" ht="30" customHeight="1">
      <c r="A8" s="26" t="inlineStr">
        <is>
          <t>Beta</t>
        </is>
      </c>
      <c r="B8" s="8" t="inlineStr">
        <is>
          <t>1.48 (Yahoo Finance 1.476, 2026-10-19); cross-checked MarketBeat 1.46, Finnhub 1.49</t>
        </is>
      </c>
      <c r="C8" s="27" t="inlineStr">
        <is>
          <t>PASS</t>
        </is>
      </c>
    </row>
    <row r="9" ht="30" customHeight="1">
      <c r="A9" s="26" t="inlineStr">
        <is>
          <t>Risk-free rate</t>
        </is>
      </c>
      <c r="B9" s="8" t="inlineStr">
        <is>
          <t>US 10Y 5.085% on 2026-10-19 (Reuters); used 5.1% — shared framework constant, already verified</t>
        </is>
      </c>
      <c r="C9" s="27" t="inlineStr">
        <is>
          <t>PASS</t>
        </is>
      </c>
    </row>
    <row r="10" ht="30" customHeight="1">
      <c r="A10" s="26" t="inlineStr">
        <is>
          <t>Comps market data as-of</t>
        </is>
      </c>
      <c r="B10" s="8" t="inlineStr">
        <is>
          <t>NVDA / AVGO / AMD / ALAB Oct 16 closes and TTM fields pulled 2026-10-19 via Yahoo Finance (frozen in data/)</t>
        </is>
      </c>
      <c r="C10" s="27" t="inlineStr">
        <is>
          <t>PASS</t>
        </is>
      </c>
    </row>
    <row r="11" ht="30" customHeight="1">
      <c r="A11" s="26" t="inlineStr">
        <is>
          <t>FCF bridge reconciles</t>
        </is>
      </c>
      <c r="B11" s="8" t="inlineStr">
        <is>
          <t>Formula check: EV = sum of PV of FCF + PV of terminal value</t>
        </is>
      </c>
      <c r="C11" s="27">
        <f>IF(ABS(DCF_Base!B22-(DCF_Base!B19+DCF_Base!B21))&lt;0.5,"PASS","FAIL")</f>
        <v/>
      </c>
    </row>
    <row r="12" ht="30" customHeight="1">
      <c r="A12" s="26" t="inlineStr">
        <is>
          <t>Per-share arithmetic</t>
        </is>
      </c>
      <c r="B12" s="8" t="inlineStr">
        <is>
          <t>Formula check: per-share = equity value / shares</t>
        </is>
      </c>
      <c r="C12" s="27">
        <f>IF(ABS(DCF_Base!B26-DCF_Base!B24/DCF_Base!B25)&lt;0.01,"PASS","FAIL")</f>
        <v/>
      </c>
    </row>
    <row r="13" ht="30" customHeight="1">
      <c r="A13" s="26" t="inlineStr">
        <is>
          <t>VMware amortization distorts GAAP net income</t>
        </is>
      </c>
      <c r="B13" s="8" t="inlineStr">
        <is>
          <t>FY2024 net income $5,895M vs EBITDA $23,879M — VMware intangibles amortization; model values on EBITDA/FCF, not GAAP NI</t>
        </is>
      </c>
      <c r="C13" s="27" t="inlineStr">
        <is>
          <t>PASS</t>
        </is>
      </c>
    </row>
    <row r="14" ht="30" customHeight="1">
      <c r="A14" s="26" t="inlineStr">
        <is>
          <t>Tax normalization</t>
        </is>
      </c>
      <c r="B14" s="8" t="inlineStr">
        <is>
          <t>FY2025 tax provision was –$397M (benefit); model uses 21% statutory forward rate — flagged as judgment on Assumptions</t>
        </is>
      </c>
      <c r="C14" s="27" t="inlineStr">
        <is>
          <t>PASS</t>
        </is>
      </c>
    </row>
    <row r="15" ht="30" customHeight="1">
      <c r="A15" s="26" t="inlineStr">
        <is>
          <t>Down-cycle in bear case</t>
        </is>
      </c>
      <c r="B15" s="8" t="inlineStr">
        <is>
          <t>Bear case includes an actual −12% revenue down year (FY2029), not just slower growth — semi cyclicality requirement</t>
        </is>
      </c>
      <c r="C15" s="27" t="inlineStr">
        <is>
          <t>PASS</t>
        </is>
      </c>
    </row>
    <row r="16" ht="30" customHeight="1">
      <c r="A16" s="26" t="inlineStr">
        <is>
          <t>Dividend not modeled separately</t>
        </is>
      </c>
      <c r="B16" s="8" t="inlineStr">
        <is>
          <t>$0.65 quarterly dividend ($2.60 annualized, 0.8% yield) is cash returned within the enterprise framework — no double count</t>
        </is>
      </c>
      <c r="C16" s="27" t="inlineStr">
        <is>
          <t>PASS</t>
        </is>
      </c>
    </row>
    <row r="17" ht="30" customHeight="1">
      <c r="A17" s="26" t="inlineStr">
        <is>
          <t>DCF vs market gap is explainable</t>
        </is>
      </c>
      <c r="B17" s="8" t="inlineStr">
        <is>
          <t>Base per-share trails $328.75 because an 11.5% WACC discounts even 24% 5-yr revenue CAGR hard; only the bull case (∼31% CAGR) reaches fair value — the market prices flawless execution</t>
        </is>
      </c>
      <c r="C17" s="27" t="inlineStr">
        <is>
          <t>PASS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60" customWidth="1" min="3" max="3"/>
    <col width="14" customWidth="1" min="4" max="4"/>
    <col width="44" customWidth="1" min="5" max="5"/>
  </cols>
  <sheetData>
    <row r="1" ht="24" customHeight="1">
      <c r="A1" s="1" t="inlineStr">
        <is>
          <t>Sources</t>
        </is>
      </c>
    </row>
    <row r="2" ht="18" customHeight="1">
      <c r="A2" s="2" t="inlineStr">
        <is>
          <t>Full URLs and access dates for every external input.</t>
        </is>
      </c>
    </row>
    <row r="3">
      <c r="A3" s="20" t="inlineStr">
        <is>
          <t>#</t>
        </is>
      </c>
      <c r="B3" s="20" t="inlineStr">
        <is>
          <t>Source</t>
        </is>
      </c>
      <c r="C3" s="20" t="inlineStr">
        <is>
          <t>URL</t>
        </is>
      </c>
      <c r="D3" s="20" t="inlineStr">
        <is>
          <t>Accessed</t>
        </is>
      </c>
      <c r="E3" s="20" t="inlineStr">
        <is>
          <t>Used for</t>
        </is>
      </c>
    </row>
    <row r="4" ht="28" customHeight="1">
      <c r="A4" s="28" t="n">
        <v>1</v>
      </c>
      <c r="B4" s="8" t="inlineStr">
        <is>
          <t>Yahoo Finance — AVGO quote &amp; financials</t>
        </is>
      </c>
      <c r="C4" s="29" t="inlineStr">
        <is>
          <t>https://finance.yahoo.com/quote/AVGO</t>
        </is>
      </c>
      <c r="D4" s="28" t="inlineStr">
        <is>
          <t>2026-10-19</t>
        </is>
      </c>
      <c r="E4" s="8" t="inlineStr">
        <is>
          <t>Price, beta, shares, annual/quarterly statements (frozen in data/)</t>
        </is>
      </c>
    </row>
    <row r="5" ht="28" customHeight="1">
      <c r="A5" s="28" t="n">
        <v>2</v>
      </c>
      <c r="B5" s="8" t="inlineStr">
        <is>
          <t>MarketBeat — AVGO stock analysis</t>
        </is>
      </c>
      <c r="C5" s="29" t="inlineStr">
        <is>
          <t>https://www.marketbeat.com/stocks/NASDAQ/AVGO/competitors-and-alternatives/</t>
        </is>
      </c>
      <c r="D5" s="28" t="inlineStr">
        <is>
          <t>2026-10-19</t>
        </is>
      </c>
      <c r="E5" s="8" t="inlineStr">
        <is>
          <t>Beta (1.46) cross-check; price and earnings context</t>
        </is>
      </c>
    </row>
    <row r="6" ht="28" customHeight="1">
      <c r="A6" s="28" t="n">
        <v>3</v>
      </c>
      <c r="B6" s="8" t="inlineStr">
        <is>
          <t>Finnhub — AVGO financial market data</t>
        </is>
      </c>
      <c r="C6" s="29" t="inlineStr">
        <is>
          <t>https://finnhub.io/?q=%22AVGO%22</t>
        </is>
      </c>
      <c r="D6" s="28" t="inlineStr">
        <is>
          <t>2026-10-19</t>
        </is>
      </c>
      <c r="E6" s="8" t="inlineStr">
        <is>
          <t>Beta cross-check (1.49)</t>
        </is>
      </c>
    </row>
    <row r="7" ht="28" customHeight="1">
      <c r="A7" s="28" t="n">
        <v>4</v>
      </c>
      <c r="B7" s="8" t="inlineStr">
        <is>
          <t>Reuters — 10Y yield 5.085% on Oct 19, 2026</t>
        </is>
      </c>
      <c r="C7" s="29" t="inlineStr">
        <is>
          <t>https://www.reuters.com/business/wall-st-futures-climb-ai-stocks-rebound-oil-yields-fall-2026-10-19/</t>
        </is>
      </c>
      <c r="D7" s="28" t="inlineStr">
        <is>
          <t>2026-10-19</t>
        </is>
      </c>
      <c r="E7" s="8" t="inlineStr">
        <is>
          <t>Risk-free rate (shared framework constant)</t>
        </is>
      </c>
    </row>
  </sheetData>
  <mergeCells count="2">
    <mergeCell ref="A1:D1"/>
    <mergeCell ref="A2:D2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2026-10-19T15:34:05+00:00Z</dcterms:created>
  <dcterms:modified xmlns:dcterms="http://purl.org/dc/terms/" xmlns:xsi="http://www.w3.org/2001/XMLSchema-instance" xsi:type="dcterms:W3CDTF">2026-10-19T15:34:05+00:00Z</dcterms:modified>
</cp:coreProperties>
</file>