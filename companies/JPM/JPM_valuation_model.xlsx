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ED7D31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5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2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JPM" TargetMode="External" Id="rId1"/><Relationship Type="http://schemas.openxmlformats.org/officeDocument/2006/relationships/hyperlink" Target="https://finance.yahoo.com/quote/GS" TargetMode="External" Id="rId2"/><Relationship Type="http://schemas.openxmlformats.org/officeDocument/2006/relationships/hyperlink" Target="https://finance.yahoo.com/quote/MS" TargetMode="External" Id="rId3"/><Relationship Type="http://schemas.openxmlformats.org/officeDocument/2006/relationships/hyperlink" Target="https://finance.yahoo.com/quote/BLK" TargetMode="External" Id="rId4"/><Relationship Type="http://schemas.openxmlformats.org/officeDocument/2006/relationships/hyperlink" Target="https://www.reuters.com/business/wall-st-futures-climb-ai-stocks-rebound-oil-yields-fall-2026-10-19/" TargetMode="External" Id="rId5"/><Relationship Type="http://schemas.openxmlformats.org/officeDocument/2006/relationships/hyperlink" Target="https://finnhub.io/?q=%22JPM%22" TargetMode="External" Id="rId6"/><Relationship Type="http://schemas.openxmlformats.org/officeDocument/2006/relationships/hyperlink" Target="https://finnhub.io/?q=%22MS%22" TargetMode="External" Id="rId7"/><Relationship Type="http://schemas.openxmlformats.org/officeDocument/2006/relationships/hyperlink" Target="https://www.marketbeat.com/stocks/NYSE/GS/" TargetMode="External" Id="rId8"/><Relationship Type="http://schemas.openxmlformats.org/officeDocument/2006/relationships/hyperlink" Target="https://www.marketbeat.com/stocks/NYSE/MS/" TargetMode="External" Id="rId9"/><Relationship Type="http://schemas.openxmlformats.org/officeDocument/2006/relationships/hyperlink" Target="https://www.marketbeat.com/stocks/NYSE/BLK/" TargetMode="External" Id="rId10"/><Relationship Type="http://schemas.openxmlformats.org/officeDocument/2006/relationships/hyperlink" Target="https://wallstreetnumbers.com/stocks/blk/beta" TargetMode="External" Id="rId11"/><Relationship Type="http://schemas.openxmlformats.org/officeDocument/2006/relationships/hyperlink" Target="https://www.tipranks.com/stocks/blk/statistics" TargetMode="External" Id="rId12"/><Relationship Type="http://schemas.openxmlformats.org/officeDocument/2006/relationships/hyperlink" Target="https://www.defenseworld.net/2026/10/18/jpmorgan-chase-co-jpm-stock-sold-by-cornerstone-enterprises-llc.html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 —  JPMorgan Chase &amp; Co. (NYSE: JPM)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339.72</v>
      </c>
    </row>
    <row r="5">
      <c r="A5" s="3" t="inlineStr">
        <is>
          <t>Recommendation</t>
        </is>
      </c>
      <c r="B5" s="5" t="inlineStr">
        <is>
          <t>HOLD</t>
        </is>
      </c>
    </row>
    <row r="6">
      <c r="A6" s="3" t="inlineStr">
        <is>
          <t>One-line thesis</t>
        </is>
      </c>
      <c r="B6" s="6" t="inlineStr">
        <is>
          <t>The fortress balance sheet of American banking, fairly priced: DCF base sits 8% below the quote while peer multiples say fair value.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Cost-of-equity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FY2022–2025 financials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distributable-cash-flow DCF per case; all formulas live</t>
        </is>
      </c>
    </row>
    <row r="12">
      <c r="A12" s="7" t="inlineStr">
        <is>
          <t>Comps</t>
        </is>
      </c>
      <c r="B12" s="8" t="inlineStr">
        <is>
          <t>JPM, GS, MS, BLK multiples (P/E and P/B) and 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Cost of equity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5.09% on 2026-10-19 (Reuters); rounded to 5.1%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</t>
        </is>
      </c>
    </row>
    <row r="6">
      <c r="A6" s="3" t="inlineStr">
        <is>
          <t>Beta (JPM)</t>
        </is>
      </c>
      <c r="B6" s="15" t="n">
        <v>1.02</v>
      </c>
      <c r="C6" s="12" t="inlineStr">
        <is>
          <t>[DATA]</t>
        </is>
      </c>
      <c r="D6" s="13" t="inlineStr">
        <is>
          <t>Yahoo Finance 1.015 (2026-10-19); Finnhub 1.04; alcapitaladvisory 1.01; MarketBeat 1.02. Used 1.02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ERP; no debt weighting (bank framework)</t>
        </is>
      </c>
    </row>
    <row r="8">
      <c r="A8" s="3" t="inlineStr">
        <is>
          <t>Cost of equity — bull case (-100 bps)</t>
        </is>
      </c>
      <c r="B8" s="16">
        <f>Assumptions!$B$7-0.01</f>
        <v/>
      </c>
      <c r="C8" s="17" t="inlineStr">
        <is>
          <t>[CALC]</t>
        </is>
      </c>
      <c r="D8" s="13" t="inlineStr">
        <is>
          <t>Rate-normalization scenario</t>
        </is>
      </c>
    </row>
    <row r="9">
      <c r="A9" s="3" t="inlineStr">
        <is>
          <t>Cost of equity — bear case (+100 bps)</t>
        </is>
      </c>
      <c r="B9" s="16">
        <f>Assumptions!$B$7+0.01</f>
        <v/>
      </c>
      <c r="C9" s="17" t="inlineStr">
        <is>
          <t>[CALC]</t>
        </is>
      </c>
      <c r="D9" s="13" t="inlineStr">
        <is>
          <t>Higher-for-longer scenario</t>
        </is>
      </c>
    </row>
    <row r="11">
      <c r="A11" s="10" t="inlineStr">
        <is>
          <t>Framework adaptation (bank DCF)</t>
        </is>
      </c>
    </row>
    <row r="12" ht="60" customHeight="1">
      <c r="A12" s="18" t="inlineStr">
        <is>
          <t>Framework adaptation: banks cannot be valued on enterprise FCF/WACC — leverage is the product, and book debt has no clean market value. I value equity directly: forecast net income (FY2026–2030), apply a total payout ratio (common dividends + share buybacks) to get distributable cash flow, and discount at cost of equity (5.1% US 10Y + beta × 4.5% ERP, no debt weighting). Terminal value is a single-stage Gordon on 2030 distributable cash flow at 3.0% perpetual growth (bull 3.5%, bear 2.0%); bull/bear cost of equity ∓100/ +100 bps. This is the standard dividend-discount / FCFE approach for financials.</t>
        </is>
      </c>
    </row>
    <row r="13"/>
    <row r="14"/>
    <row r="15">
      <c r="A15" s="10" t="inlineStr">
        <is>
          <t>Forecast drivers (2026–2030)</t>
        </is>
      </c>
    </row>
    <row r="16">
      <c r="B16" s="19" t="n">
        <v>2026</v>
      </c>
      <c r="C16" s="19" t="n">
        <v>2027</v>
      </c>
      <c r="D16" s="19" t="n">
        <v>2028</v>
      </c>
      <c r="E16" s="19" t="n">
        <v>2029</v>
      </c>
      <c r="F16" s="19" t="n">
        <v>2030</v>
      </c>
    </row>
    <row r="17">
      <c r="A17" s="3" t="inlineStr">
        <is>
          <t>Net income growth — base</t>
        </is>
      </c>
      <c r="B17" s="11" t="n">
        <v>0.03</v>
      </c>
      <c r="C17" s="11" t="n">
        <v>0.05</v>
      </c>
      <c r="D17" s="11" t="n">
        <v>0.05</v>
      </c>
      <c r="E17" s="11" t="n">
        <v>0.04</v>
      </c>
      <c r="F17" s="11" t="n">
        <v>0.03</v>
      </c>
      <c r="G17" s="14" t="inlineStr">
        <is>
          <t>[JUDGMENT]</t>
        </is>
      </c>
      <c r="H17" s="13" t="inlineStr">
        <is>
          <t>3.0% NI CAGR FY2025-30; card/market normalization in outer years</t>
        </is>
      </c>
    </row>
    <row r="18">
      <c r="A18" s="3" t="inlineStr">
        <is>
          <t>Net income growth — bull</t>
        </is>
      </c>
      <c r="B18" s="11" t="n">
        <v>0.08</v>
      </c>
      <c r="C18" s="11" t="n">
        <v>0.1</v>
      </c>
      <c r="D18" s="11" t="n">
        <v>0.08</v>
      </c>
      <c r="E18" s="11" t="n">
        <v>0.07000000000000001</v>
      </c>
      <c r="F18" s="11" t="n">
        <v>0.05</v>
      </c>
      <c r="G18" s="14" t="inlineStr">
        <is>
          <t>[JUDGMENT]</t>
        </is>
      </c>
      <c r="H18" s="13" t="inlineStr">
        <is>
          <t>Capital-markets supercycle / AI deal wave</t>
        </is>
      </c>
    </row>
    <row r="19">
      <c r="A19" s="3" t="inlineStr">
        <is>
          <t>Net income growth — bear</t>
        </is>
      </c>
      <c r="B19" s="11" t="n">
        <v>-0.12</v>
      </c>
      <c r="C19" s="11" t="n">
        <v>-0.06</v>
      </c>
      <c r="D19" s="11" t="n">
        <v>0</v>
      </c>
      <c r="E19" s="11" t="n">
        <v>0.02</v>
      </c>
      <c r="F19" s="11" t="n">
        <v>0.03</v>
      </c>
      <c r="G19" s="14" t="inlineStr">
        <is>
          <t>[JUDGMENT]</t>
        </is>
      </c>
      <c r="H19" s="13" t="inlineStr">
        <is>
          <t>Rate normalization compresses NII; credit costs rise</t>
        </is>
      </c>
    </row>
    <row r="20">
      <c r="A20" s="3" t="inlineStr">
        <is>
          <t>Dividend payout ratio — base</t>
        </is>
      </c>
      <c r="B20" s="11" t="n">
        <v>0.3</v>
      </c>
      <c r="C20" s="11" t="n">
        <v>0.3</v>
      </c>
      <c r="D20" s="11" t="n">
        <v>0.31</v>
      </c>
      <c r="E20" s="11" t="n">
        <v>0.31</v>
      </c>
      <c r="F20" s="11" t="n">
        <v>0.31</v>
      </c>
      <c r="G20" s="14" t="inlineStr">
        <is>
          <t>[JUDGMENT]</t>
        </is>
      </c>
      <c r="H20" s="13" t="inlineStr">
        <is>
          <t>~93% total payout: ~30% dividend + ~63% buyback; matches 2025 actual 90.0%</t>
        </is>
      </c>
    </row>
    <row r="21">
      <c r="A21" s="3" t="inlineStr">
        <is>
          <t>Dividend payout ratio — bull</t>
        </is>
      </c>
      <c r="B21" s="11" t="n">
        <v>0.3</v>
      </c>
      <c r="C21" s="11" t="n">
        <v>0.3</v>
      </c>
      <c r="D21" s="11" t="n">
        <v>0.3</v>
      </c>
      <c r="E21" s="11" t="n">
        <v>0.3</v>
      </c>
      <c r="F21" s="11" t="n">
        <v>0.3</v>
      </c>
      <c r="G21" s="14" t="inlineStr">
        <is>
          <t>[JUDGMENT]</t>
        </is>
      </c>
      <c r="H21" s="13" t="inlineStr">
        <is>
          <t>Dividend held steady; buybacks take the upside</t>
        </is>
      </c>
    </row>
    <row r="22">
      <c r="A22" s="3" t="inlineStr">
        <is>
          <t>Dividend payout ratio — bear</t>
        </is>
      </c>
      <c r="B22" s="11" t="n">
        <v>0.32</v>
      </c>
      <c r="C22" s="11" t="n">
        <v>0.32</v>
      </c>
      <c r="D22" s="11" t="n">
        <v>0.32</v>
      </c>
      <c r="E22" s="11" t="n">
        <v>0.32</v>
      </c>
      <c r="F22" s="11" t="n">
        <v>0.32</v>
      </c>
      <c r="G22" s="14" t="inlineStr">
        <is>
          <t>[JUDGMENT]</t>
        </is>
      </c>
      <c r="H22" s="13" t="inlineStr">
        <is>
          <t>Dividend defended; buybacks cut</t>
        </is>
      </c>
    </row>
    <row r="23">
      <c r="A23" s="3" t="inlineStr">
        <is>
          <t>Buyback payout ratio — base</t>
        </is>
      </c>
      <c r="B23" s="11" t="n">
        <v>0.62</v>
      </c>
      <c r="C23" s="11" t="n">
        <v>0.63</v>
      </c>
      <c r="D23" s="11" t="n">
        <v>0.63</v>
      </c>
      <c r="E23" s="11" t="n">
        <v>0.62</v>
      </c>
      <c r="F23" s="11" t="n">
        <v>0.62</v>
      </c>
      <c r="G23" s="14" t="inlineStr">
        <is>
          <t>[JUDGMENT]</t>
        </is>
      </c>
      <c r="H23" s="13" t="inlineStr">
        <is>
          <t>3-yr granular FY2026-28; steady-state glide FY2029-30</t>
        </is>
      </c>
    </row>
    <row r="24">
      <c r="A24" s="3" t="inlineStr">
        <is>
          <t>Buyback payout ratio — bull</t>
        </is>
      </c>
      <c r="B24" s="11" t="n">
        <v>0.7</v>
      </c>
      <c r="C24" s="11" t="n">
        <v>0.7</v>
      </c>
      <c r="D24" s="11" t="n">
        <v>0.7</v>
      </c>
      <c r="E24" s="11" t="n">
        <v>0.7</v>
      </c>
      <c r="F24" s="11" t="n">
        <v>0.7</v>
      </c>
      <c r="G24" s="14" t="inlineStr">
        <is>
          <t>[JUDGMENT]</t>
        </is>
      </c>
      <c r="H24" s="13" t="inlineStr">
        <is>
          <t>Excess capital returned aggressively</t>
        </is>
      </c>
    </row>
    <row r="25">
      <c r="A25" s="3" t="inlineStr">
        <is>
          <t>Buyback payout ratio — bear</t>
        </is>
      </c>
      <c r="B25" s="11" t="n">
        <v>0.48</v>
      </c>
      <c r="C25" s="11" t="n">
        <v>0.48</v>
      </c>
      <c r="D25" s="11" t="n">
        <v>0.48</v>
      </c>
      <c r="E25" s="11" t="n">
        <v>0.48</v>
      </c>
      <c r="F25" s="11" t="n">
        <v>0.48</v>
      </c>
      <c r="G25" s="14" t="inlineStr">
        <is>
          <t>[JUDGMENT]</t>
        </is>
      </c>
      <c r="H25" s="13" t="inlineStr">
        <is>
          <t>Capital conserved under stress</t>
        </is>
      </c>
    </row>
    <row r="27">
      <c r="A27" s="3" t="inlineStr">
        <is>
          <t>Terminal growth — base</t>
        </is>
      </c>
      <c r="B27" s="11" t="n">
        <v>0.03</v>
      </c>
      <c r="G27" s="14" t="inlineStr">
        <is>
          <t>[JUDGMENT]</t>
        </is>
      </c>
      <c r="H27" s="13" t="inlineStr">
        <is>
          <t>Long-run nominal GDP</t>
        </is>
      </c>
    </row>
    <row r="28">
      <c r="A28" s="3" t="inlineStr">
        <is>
          <t>Terminal growth — bull</t>
        </is>
      </c>
      <c r="B28" s="11" t="n">
        <v>0.035</v>
      </c>
      <c r="G28" s="14" t="inlineStr">
        <is>
          <t>[JUDGMENT]</t>
        </is>
      </c>
      <c r="H28" s="13" t="inlineStr"/>
    </row>
    <row r="29">
      <c r="A29" s="3" t="inlineStr">
        <is>
          <t>Terminal growth — bear</t>
        </is>
      </c>
      <c r="B29" s="11" t="n">
        <v>0.02</v>
      </c>
      <c r="G29" s="14" t="inlineStr">
        <is>
          <t>[JUDGMENT]</t>
        </is>
      </c>
      <c r="H29" s="13" t="inlineStr"/>
    </row>
    <row r="30">
      <c r="A30" s="3" t="inlineStr">
        <is>
          <t>FY2025 net income, common ($M)</t>
        </is>
      </c>
      <c r="B30" s="20" t="n">
        <v>55681</v>
      </c>
      <c r="G30" s="12" t="inlineStr">
        <is>
          <t>[DATA]</t>
        </is>
      </c>
      <c r="H30" s="13" t="inlineStr">
        <is>
          <t>Yahoo Finance annual income statement</t>
        </is>
      </c>
    </row>
    <row r="31">
      <c r="A31" s="3" t="inlineStr">
        <is>
          <t>FY2025 preferred stock dividends ($M)</t>
        </is>
      </c>
      <c r="B31" s="20" t="n">
        <v>1099</v>
      </c>
      <c r="G31" s="12" t="inlineStr">
        <is>
          <t>[DATA]</t>
        </is>
      </c>
      <c r="H31" s="13" t="inlineStr">
        <is>
          <t>Subtracted in the distribution bridge</t>
        </is>
      </c>
    </row>
    <row r="32">
      <c r="A32" s="3" t="inlineStr">
        <is>
          <t>Shares outstanding (M)</t>
        </is>
      </c>
      <c r="B32" s="20" t="n">
        <v>2655.6</v>
      </c>
      <c r="G32" s="12" t="inlineStr">
        <is>
          <t>[DATA]</t>
        </is>
      </c>
      <c r="H32" s="13" t="inlineStr">
        <is>
          <t>Yahoo Finance, Oct 2026; Oct 16 mkt cap = price × shares</t>
        </is>
      </c>
    </row>
  </sheetData>
  <mergeCells count="3">
    <mergeCell ref="A2:H2"/>
    <mergeCell ref="A12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Historical financials — JPM</t>
        </is>
      </c>
    </row>
    <row r="2" ht="18" customHeight="1">
      <c r="A2" s="2" t="inlineStr">
        <is>
          <t>$ millions, except per-share. Source: Yahoo Finance annual statements (filing-derived), as of 2026-10-19.</t>
        </is>
      </c>
    </row>
    <row r="3">
      <c r="A3" s="21" t="inlineStr"/>
      <c r="B3" s="21" t="n">
        <v>2022</v>
      </c>
      <c r="C3" s="21" t="n">
        <v>2023</v>
      </c>
      <c r="D3" s="21" t="n">
        <v>2024</v>
      </c>
      <c r="E3" s="21" t="n">
        <v>2025</v>
      </c>
    </row>
    <row r="4">
      <c r="A4" s="3" t="inlineStr">
        <is>
          <t>Total revenue</t>
        </is>
      </c>
      <c r="B4" s="22" t="n">
        <v>127727</v>
      </c>
      <c r="C4" s="22" t="n">
        <v>154952</v>
      </c>
      <c r="D4" s="22" t="n">
        <v>169439</v>
      </c>
      <c r="E4" s="22" t="n">
        <v>181847</v>
      </c>
    </row>
    <row r="5">
      <c r="A5" s="3" t="inlineStr">
        <is>
          <t>Net interest income</t>
        </is>
      </c>
      <c r="B5" s="22" t="n">
        <v>66710</v>
      </c>
      <c r="C5" s="22" t="n">
        <v>89267</v>
      </c>
      <c r="D5" s="22" t="n">
        <v>92583</v>
      </c>
      <c r="E5" s="22" t="n">
        <v>95443</v>
      </c>
    </row>
    <row r="6">
      <c r="A6" s="3" t="inlineStr">
        <is>
          <t>Net income, common stockholders</t>
        </is>
      </c>
      <c r="B6" s="22" t="n">
        <v>35892</v>
      </c>
      <c r="C6" s="22" t="n">
        <v>47760</v>
      </c>
      <c r="D6" s="22" t="n">
        <v>56868</v>
      </c>
      <c r="E6" s="22" t="n">
        <v>55681</v>
      </c>
    </row>
    <row r="7">
      <c r="A7" s="3" t="inlineStr">
        <is>
          <t>Preferred stock dividends</t>
        </is>
      </c>
      <c r="B7" s="22" t="n">
        <v>1595</v>
      </c>
      <c r="C7" s="22" t="n">
        <v>1501</v>
      </c>
      <c r="D7" s="22" t="n">
        <v>1259</v>
      </c>
      <c r="E7" s="22" t="n">
        <v>1099</v>
      </c>
    </row>
    <row r="8">
      <c r="A8" s="3" t="inlineStr">
        <is>
          <t>Cash dividends paid</t>
        </is>
      </c>
      <c r="B8" s="22" t="n">
        <v>13562</v>
      </c>
      <c r="C8" s="22" t="n">
        <v>13463</v>
      </c>
      <c r="D8" s="22" t="n">
        <v>14783</v>
      </c>
      <c r="E8" s="22" t="n">
        <v>16625</v>
      </c>
    </row>
    <row r="9">
      <c r="A9" s="3" t="inlineStr">
        <is>
          <t>Share repurchases</t>
        </is>
      </c>
      <c r="B9" s="22" t="n">
        <v>10596</v>
      </c>
      <c r="C9" s="22" t="n">
        <v>9824</v>
      </c>
      <c r="D9" s="22" t="n">
        <v>28680</v>
      </c>
      <c r="E9" s="22" t="n">
        <v>34591</v>
      </c>
    </row>
    <row r="10">
      <c r="A10" s="3" t="inlineStr">
        <is>
          <t>Total distributions to common</t>
        </is>
      </c>
      <c r="B10" s="22">
        <f>B8+B9-B7</f>
        <v/>
      </c>
      <c r="C10" s="22">
        <f>C8+C9-C7</f>
        <v/>
      </c>
      <c r="D10" s="22">
        <f>D8+D9-D7</f>
        <v/>
      </c>
      <c r="E10" s="22">
        <f>E8+E9-E7</f>
        <v/>
      </c>
    </row>
    <row r="11">
      <c r="A11" s="3" t="inlineStr">
        <is>
          <t>Total payout ratio</t>
        </is>
      </c>
      <c r="B11" s="16">
        <f>B10/B6</f>
        <v/>
      </c>
      <c r="C11" s="16">
        <f>C10/C6</f>
        <v/>
      </c>
      <c r="D11" s="16">
        <f>D10/D6</f>
        <v/>
      </c>
      <c r="E11" s="16">
        <f>E10/E6</f>
        <v/>
      </c>
    </row>
    <row r="12">
      <c r="A12" s="3" t="inlineStr">
        <is>
          <t>Diluted average shares (M)</t>
        </is>
      </c>
      <c r="B12" s="22" t="n">
        <v>2970</v>
      </c>
      <c r="C12" s="22" t="n">
        <v>2943.1</v>
      </c>
      <c r="D12" s="22" t="n">
        <v>2879</v>
      </c>
      <c r="E12" s="22" t="n">
        <v>2781.5</v>
      </c>
    </row>
    <row r="13">
      <c r="A13" s="3" t="inlineStr">
        <is>
          <t>Common stockholders' equity</t>
        </is>
      </c>
      <c r="B13" s="22" t="n">
        <v>264928</v>
      </c>
      <c r="C13" s="22" t="n">
        <v>300474</v>
      </c>
      <c r="D13" s="22" t="n">
        <v>324708</v>
      </c>
      <c r="E13" s="22" t="n">
        <v>342393</v>
      </c>
    </row>
    <row r="14">
      <c r="A14" s="3" t="inlineStr">
        <is>
          <t>ROE (NI common / common equity)</t>
        </is>
      </c>
      <c r="B14" s="16">
        <f>B6/B13</f>
        <v/>
      </c>
      <c r="C14" s="16">
        <f>C6/C13</f>
        <v/>
      </c>
      <c r="D14" s="16">
        <f>D6/D13</f>
        <v/>
      </c>
      <c r="E14" s="16">
        <f>E6/E13</f>
        <v/>
      </c>
    </row>
    <row r="15">
      <c r="A15" s="3" t="inlineStr">
        <is>
          <t>Ordinary shares outstanding (M)</t>
        </is>
      </c>
      <c r="B15" s="22" t="n">
        <v>2934.3</v>
      </c>
      <c r="C15" s="22" t="n">
        <v>2876.7</v>
      </c>
      <c r="D15" s="22" t="n">
        <v>2797.6</v>
      </c>
      <c r="E15" s="22" t="n">
        <v>2696.3</v>
      </c>
    </row>
    <row r="16">
      <c r="A16" s="3" t="inlineStr">
        <is>
          <t>Book value per share ($)</t>
        </is>
      </c>
      <c r="B16" s="23">
        <f>B13/B15</f>
        <v/>
      </c>
      <c r="C16" s="23">
        <f>C13/C15</f>
        <v/>
      </c>
      <c r="D16" s="23">
        <f>D13/D15</f>
        <v/>
      </c>
      <c r="E16" s="23">
        <f>E13/E15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JPMorgan Chase &amp; Co. (JPM) — Distributable-cash-flow DCF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1" t="inlineStr"/>
      <c r="B3" s="21" t="n">
        <v>2026</v>
      </c>
      <c r="C3" s="21" t="n">
        <v>2027</v>
      </c>
      <c r="D3" s="21" t="n">
        <v>2028</v>
      </c>
      <c r="E3" s="21" t="n">
        <v>2029</v>
      </c>
      <c r="F3" s="21" t="n">
        <v>2030</v>
      </c>
    </row>
    <row r="4">
      <c r="A4" s="3" t="inlineStr">
        <is>
          <t>Net income, common stockholders</t>
        </is>
      </c>
      <c r="B4" s="22">
        <f>Assumptions!$B$30*(1+Assumptions!B$17)</f>
        <v/>
      </c>
      <c r="C4" s="22">
        <f>B4*(1+Assumptions!C$17)</f>
        <v/>
      </c>
      <c r="D4" s="22">
        <f>C4*(1+Assumptions!D$17)</f>
        <v/>
      </c>
      <c r="E4" s="22">
        <f>D4*(1+Assumptions!E$17)</f>
        <v/>
      </c>
      <c r="F4" s="22">
        <f>E4*(1+Assumptions!F$17)</f>
        <v/>
      </c>
    </row>
    <row r="5">
      <c r="A5" s="3" t="inlineStr">
        <is>
          <t>Net income growth</t>
        </is>
      </c>
      <c r="B5" s="16">
        <f>B4/Assumptions!$B$30-1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Dividend payout ratio</t>
        </is>
      </c>
      <c r="B6" s="16">
        <f>Assumptions!B$20</f>
        <v/>
      </c>
      <c r="C6" s="16">
        <f>Assumptions!C$20</f>
        <v/>
      </c>
      <c r="D6" s="16">
        <f>Assumptions!D$20</f>
        <v/>
      </c>
      <c r="E6" s="16">
        <f>Assumptions!E$20</f>
        <v/>
      </c>
      <c r="F6" s="16">
        <f>Assumptions!F$20</f>
        <v/>
      </c>
    </row>
    <row r="7">
      <c r="A7" s="3" t="inlineStr">
        <is>
          <t>Common dividends</t>
        </is>
      </c>
      <c r="B7" s="22">
        <f>B4*B6</f>
        <v/>
      </c>
      <c r="C7" s="22">
        <f>C4*C6</f>
        <v/>
      </c>
      <c r="D7" s="22">
        <f>D4*D6</f>
        <v/>
      </c>
      <c r="E7" s="22">
        <f>E4*E6</f>
        <v/>
      </c>
      <c r="F7" s="22">
        <f>F4*F6</f>
        <v/>
      </c>
    </row>
    <row r="8">
      <c r="A8" s="3" t="inlineStr">
        <is>
          <t>Buyback payout ratio</t>
        </is>
      </c>
      <c r="B8" s="16">
        <f>Assumptions!B$23</f>
        <v/>
      </c>
      <c r="C8" s="16">
        <f>Assumptions!C$23</f>
        <v/>
      </c>
      <c r="D8" s="16">
        <f>Assumptions!D$23</f>
        <v/>
      </c>
      <c r="E8" s="16">
        <f>Assumptions!E$23</f>
        <v/>
      </c>
      <c r="F8" s="16">
        <f>Assumptions!F$23</f>
        <v/>
      </c>
    </row>
    <row r="9">
      <c r="A9" s="3" t="inlineStr">
        <is>
          <t>Share repurchases</t>
        </is>
      </c>
      <c r="B9" s="22">
        <f>B4*B8</f>
        <v/>
      </c>
      <c r="C9" s="22">
        <f>C4*C8</f>
        <v/>
      </c>
      <c r="D9" s="22">
        <f>D4*D8</f>
        <v/>
      </c>
      <c r="E9" s="22">
        <f>E4*E8</f>
        <v/>
      </c>
      <c r="F9" s="22">
        <f>F4*F8</f>
        <v/>
      </c>
    </row>
    <row r="10">
      <c r="A10" s="3" t="inlineStr">
        <is>
          <t>Total distributable cash flow</t>
        </is>
      </c>
      <c r="B10" s="22">
        <f>B7+B9</f>
        <v/>
      </c>
      <c r="C10" s="22">
        <f>C7+C9</f>
        <v/>
      </c>
      <c r="D10" s="22">
        <f>D7+D9</f>
        <v/>
      </c>
      <c r="E10" s="22">
        <f>E7+E9</f>
        <v/>
      </c>
      <c r="F10" s="22">
        <f>F7+F9</f>
        <v/>
      </c>
    </row>
    <row r="11">
      <c r="A11" s="3" t="inlineStr">
        <is>
          <t>Discount factor</t>
        </is>
      </c>
      <c r="B11" s="24">
        <f>1/(1+Assumptions!$B$7)^1</f>
        <v/>
      </c>
      <c r="C11" s="24">
        <f>1/(1+Assumptions!$B$7)^2</f>
        <v/>
      </c>
      <c r="D11" s="24">
        <f>1/(1+Assumptions!$B$7)^3</f>
        <v/>
      </c>
      <c r="E11" s="24">
        <f>1/(1+Assumptions!$B$7)^4</f>
        <v/>
      </c>
      <c r="F11" s="24">
        <f>1/(1+Assumptions!$B$7)^5</f>
        <v/>
      </c>
    </row>
    <row r="12">
      <c r="A12" s="3" t="inlineStr">
        <is>
          <t>Present value of distrib. CF</t>
        </is>
      </c>
      <c r="B12" s="22">
        <f>B10*B11</f>
        <v/>
      </c>
      <c r="C12" s="22">
        <f>C10*C11</f>
        <v/>
      </c>
      <c r="D12" s="22">
        <f>D10*D11</f>
        <v/>
      </c>
      <c r="E12" s="22">
        <f>E10*E11</f>
        <v/>
      </c>
      <c r="F12" s="22">
        <f>F10*F11</f>
        <v/>
      </c>
    </row>
    <row r="13"/>
    <row r="14">
      <c r="A14" s="7" t="inlineStr">
        <is>
          <t>Sum of PV of distributable CF</t>
        </is>
      </c>
      <c r="B14" s="22">
        <f>SUM(B12:F12)</f>
        <v/>
      </c>
    </row>
    <row r="15">
      <c r="A15" s="3" t="inlineStr">
        <is>
          <t>Terminal value (Gordon on 2030 distrib. CF)</t>
        </is>
      </c>
      <c r="B15" s="22">
        <f>F10*(1+Assumptions!$B$27)/(Assumptions!$B$7-Assumptions!$B$27)</f>
        <v/>
      </c>
    </row>
    <row r="16">
      <c r="A16" s="3" t="inlineStr">
        <is>
          <t>PV of terminal value</t>
        </is>
      </c>
      <c r="B16" s="22">
        <f>B15/(1+Assumptions!$B$7)^5</f>
        <v/>
      </c>
    </row>
    <row r="17">
      <c r="A17" s="7" t="inlineStr">
        <is>
          <t>Equity value</t>
        </is>
      </c>
      <c r="B17" s="22">
        <f>B14+B16</f>
        <v/>
      </c>
    </row>
    <row r="18">
      <c r="A18" s="3" t="inlineStr">
        <is>
          <t>Shares outstanding (M)</t>
        </is>
      </c>
      <c r="B18" s="22">
        <f>Assumptions!$B$32</f>
        <v/>
      </c>
    </row>
    <row r="19">
      <c r="A19" s="10" t="inlineStr">
        <is>
          <t>Implied value per share ($)</t>
        </is>
      </c>
      <c r="B19" s="23">
        <f>B17/B18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JPMorgan Chase &amp; Co. (JPM) — Distributable-cash-flow DCF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1" t="inlineStr"/>
      <c r="B3" s="21" t="n">
        <v>2026</v>
      </c>
      <c r="C3" s="21" t="n">
        <v>2027</v>
      </c>
      <c r="D3" s="21" t="n">
        <v>2028</v>
      </c>
      <c r="E3" s="21" t="n">
        <v>2029</v>
      </c>
      <c r="F3" s="21" t="n">
        <v>2030</v>
      </c>
    </row>
    <row r="4">
      <c r="A4" s="3" t="inlineStr">
        <is>
          <t>Net income, common stockholders</t>
        </is>
      </c>
      <c r="B4" s="22">
        <f>Assumptions!$B$30*(1+Assumptions!B$18)</f>
        <v/>
      </c>
      <c r="C4" s="22">
        <f>B4*(1+Assumptions!C$18)</f>
        <v/>
      </c>
      <c r="D4" s="22">
        <f>C4*(1+Assumptions!D$18)</f>
        <v/>
      </c>
      <c r="E4" s="22">
        <f>D4*(1+Assumptions!E$18)</f>
        <v/>
      </c>
      <c r="F4" s="22">
        <f>E4*(1+Assumptions!F$18)</f>
        <v/>
      </c>
    </row>
    <row r="5">
      <c r="A5" s="3" t="inlineStr">
        <is>
          <t>Net income growth</t>
        </is>
      </c>
      <c r="B5" s="16">
        <f>B4/Assumptions!$B$30-1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Dividend payout ratio</t>
        </is>
      </c>
      <c r="B6" s="16">
        <f>Assumptions!B$21</f>
        <v/>
      </c>
      <c r="C6" s="16">
        <f>Assumptions!C$21</f>
        <v/>
      </c>
      <c r="D6" s="16">
        <f>Assumptions!D$21</f>
        <v/>
      </c>
      <c r="E6" s="16">
        <f>Assumptions!E$21</f>
        <v/>
      </c>
      <c r="F6" s="16">
        <f>Assumptions!F$21</f>
        <v/>
      </c>
    </row>
    <row r="7">
      <c r="A7" s="3" t="inlineStr">
        <is>
          <t>Common dividends</t>
        </is>
      </c>
      <c r="B7" s="22">
        <f>B4*B6</f>
        <v/>
      </c>
      <c r="C7" s="22">
        <f>C4*C6</f>
        <v/>
      </c>
      <c r="D7" s="22">
        <f>D4*D6</f>
        <v/>
      </c>
      <c r="E7" s="22">
        <f>E4*E6</f>
        <v/>
      </c>
      <c r="F7" s="22">
        <f>F4*F6</f>
        <v/>
      </c>
    </row>
    <row r="8">
      <c r="A8" s="3" t="inlineStr">
        <is>
          <t>Buyback payout ratio</t>
        </is>
      </c>
      <c r="B8" s="16">
        <f>Assumptions!B$24</f>
        <v/>
      </c>
      <c r="C8" s="16">
        <f>Assumptions!C$24</f>
        <v/>
      </c>
      <c r="D8" s="16">
        <f>Assumptions!D$24</f>
        <v/>
      </c>
      <c r="E8" s="16">
        <f>Assumptions!E$24</f>
        <v/>
      </c>
      <c r="F8" s="16">
        <f>Assumptions!F$24</f>
        <v/>
      </c>
    </row>
    <row r="9">
      <c r="A9" s="3" t="inlineStr">
        <is>
          <t>Share repurchases</t>
        </is>
      </c>
      <c r="B9" s="22">
        <f>B4*B8</f>
        <v/>
      </c>
      <c r="C9" s="22">
        <f>C4*C8</f>
        <v/>
      </c>
      <c r="D9" s="22">
        <f>D4*D8</f>
        <v/>
      </c>
      <c r="E9" s="22">
        <f>E4*E8</f>
        <v/>
      </c>
      <c r="F9" s="22">
        <f>F4*F8</f>
        <v/>
      </c>
    </row>
    <row r="10">
      <c r="A10" s="3" t="inlineStr">
        <is>
          <t>Total distributable cash flow</t>
        </is>
      </c>
      <c r="B10" s="22">
        <f>B7+B9</f>
        <v/>
      </c>
      <c r="C10" s="22">
        <f>C7+C9</f>
        <v/>
      </c>
      <c r="D10" s="22">
        <f>D7+D9</f>
        <v/>
      </c>
      <c r="E10" s="22">
        <f>E7+E9</f>
        <v/>
      </c>
      <c r="F10" s="22">
        <f>F7+F9</f>
        <v/>
      </c>
    </row>
    <row r="11">
      <c r="A11" s="3" t="inlineStr">
        <is>
          <t>Discount factor</t>
        </is>
      </c>
      <c r="B11" s="24">
        <f>1/(1+Assumptions!$B$8)^1</f>
        <v/>
      </c>
      <c r="C11" s="24">
        <f>1/(1+Assumptions!$B$8)^2</f>
        <v/>
      </c>
      <c r="D11" s="24">
        <f>1/(1+Assumptions!$B$8)^3</f>
        <v/>
      </c>
      <c r="E11" s="24">
        <f>1/(1+Assumptions!$B$8)^4</f>
        <v/>
      </c>
      <c r="F11" s="24">
        <f>1/(1+Assumptions!$B$8)^5</f>
        <v/>
      </c>
    </row>
    <row r="12">
      <c r="A12" s="3" t="inlineStr">
        <is>
          <t>Present value of distrib. CF</t>
        </is>
      </c>
      <c r="B12" s="22">
        <f>B10*B11</f>
        <v/>
      </c>
      <c r="C12" s="22">
        <f>C10*C11</f>
        <v/>
      </c>
      <c r="D12" s="22">
        <f>D10*D11</f>
        <v/>
      </c>
      <c r="E12" s="22">
        <f>E10*E11</f>
        <v/>
      </c>
      <c r="F12" s="22">
        <f>F10*F11</f>
        <v/>
      </c>
    </row>
    <row r="13"/>
    <row r="14">
      <c r="A14" s="7" t="inlineStr">
        <is>
          <t>Sum of PV of distributable CF</t>
        </is>
      </c>
      <c r="B14" s="22">
        <f>SUM(B12:F12)</f>
        <v/>
      </c>
    </row>
    <row r="15">
      <c r="A15" s="3" t="inlineStr">
        <is>
          <t>Terminal value (Gordon on 2030 distrib. CF)</t>
        </is>
      </c>
      <c r="B15" s="22">
        <f>F10*(1+Assumptions!$B$28)/(Assumptions!$B$8-Assumptions!$B$28)</f>
        <v/>
      </c>
    </row>
    <row r="16">
      <c r="A16" s="3" t="inlineStr">
        <is>
          <t>PV of terminal value</t>
        </is>
      </c>
      <c r="B16" s="22">
        <f>B15/(1+Assumptions!$B$8)^5</f>
        <v/>
      </c>
    </row>
    <row r="17">
      <c r="A17" s="7" t="inlineStr">
        <is>
          <t>Equity value</t>
        </is>
      </c>
      <c r="B17" s="22">
        <f>B14+B16</f>
        <v/>
      </c>
    </row>
    <row r="18">
      <c r="A18" s="3" t="inlineStr">
        <is>
          <t>Shares outstanding (M)</t>
        </is>
      </c>
      <c r="B18" s="22">
        <f>Assumptions!$B$32</f>
        <v/>
      </c>
    </row>
    <row r="19">
      <c r="A19" s="10" t="inlineStr">
        <is>
          <t>Implied value per share ($)</t>
        </is>
      </c>
      <c r="B19" s="23">
        <f>B17/B18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JPMorgan Chase &amp; Co. (JPM) — Distributable-cash-flow DCF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1" t="inlineStr"/>
      <c r="B3" s="21" t="n">
        <v>2026</v>
      </c>
      <c r="C3" s="21" t="n">
        <v>2027</v>
      </c>
      <c r="D3" s="21" t="n">
        <v>2028</v>
      </c>
      <c r="E3" s="21" t="n">
        <v>2029</v>
      </c>
      <c r="F3" s="21" t="n">
        <v>2030</v>
      </c>
    </row>
    <row r="4">
      <c r="A4" s="3" t="inlineStr">
        <is>
          <t>Net income, common stockholders</t>
        </is>
      </c>
      <c r="B4" s="22">
        <f>Assumptions!$B$30*(1+Assumptions!B$19)</f>
        <v/>
      </c>
      <c r="C4" s="22">
        <f>B4*(1+Assumptions!C$19)</f>
        <v/>
      </c>
      <c r="D4" s="22">
        <f>C4*(1+Assumptions!D$19)</f>
        <v/>
      </c>
      <c r="E4" s="22">
        <f>D4*(1+Assumptions!E$19)</f>
        <v/>
      </c>
      <c r="F4" s="22">
        <f>E4*(1+Assumptions!F$19)</f>
        <v/>
      </c>
    </row>
    <row r="5">
      <c r="A5" s="3" t="inlineStr">
        <is>
          <t>Net income growth</t>
        </is>
      </c>
      <c r="B5" s="16">
        <f>B4/Assumptions!$B$30-1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Dividend payout ratio</t>
        </is>
      </c>
      <c r="B6" s="16">
        <f>Assumptions!B$22</f>
        <v/>
      </c>
      <c r="C6" s="16">
        <f>Assumptions!C$22</f>
        <v/>
      </c>
      <c r="D6" s="16">
        <f>Assumptions!D$22</f>
        <v/>
      </c>
      <c r="E6" s="16">
        <f>Assumptions!E$22</f>
        <v/>
      </c>
      <c r="F6" s="16">
        <f>Assumptions!F$22</f>
        <v/>
      </c>
    </row>
    <row r="7">
      <c r="A7" s="3" t="inlineStr">
        <is>
          <t>Common dividends</t>
        </is>
      </c>
      <c r="B7" s="22">
        <f>B4*B6</f>
        <v/>
      </c>
      <c r="C7" s="22">
        <f>C4*C6</f>
        <v/>
      </c>
      <c r="D7" s="22">
        <f>D4*D6</f>
        <v/>
      </c>
      <c r="E7" s="22">
        <f>E4*E6</f>
        <v/>
      </c>
      <c r="F7" s="22">
        <f>F4*F6</f>
        <v/>
      </c>
    </row>
    <row r="8">
      <c r="A8" s="3" t="inlineStr">
        <is>
          <t>Buyback payout ratio</t>
        </is>
      </c>
      <c r="B8" s="16">
        <f>Assumptions!B$25</f>
        <v/>
      </c>
      <c r="C8" s="16">
        <f>Assumptions!C$25</f>
        <v/>
      </c>
      <c r="D8" s="16">
        <f>Assumptions!D$25</f>
        <v/>
      </c>
      <c r="E8" s="16">
        <f>Assumptions!E$25</f>
        <v/>
      </c>
      <c r="F8" s="16">
        <f>Assumptions!F$25</f>
        <v/>
      </c>
    </row>
    <row r="9">
      <c r="A9" s="3" t="inlineStr">
        <is>
          <t>Share repurchases</t>
        </is>
      </c>
      <c r="B9" s="22">
        <f>B4*B8</f>
        <v/>
      </c>
      <c r="C9" s="22">
        <f>C4*C8</f>
        <v/>
      </c>
      <c r="D9" s="22">
        <f>D4*D8</f>
        <v/>
      </c>
      <c r="E9" s="22">
        <f>E4*E8</f>
        <v/>
      </c>
      <c r="F9" s="22">
        <f>F4*F8</f>
        <v/>
      </c>
    </row>
    <row r="10">
      <c r="A10" s="3" t="inlineStr">
        <is>
          <t>Total distributable cash flow</t>
        </is>
      </c>
      <c r="B10" s="22">
        <f>B7+B9</f>
        <v/>
      </c>
      <c r="C10" s="22">
        <f>C7+C9</f>
        <v/>
      </c>
      <c r="D10" s="22">
        <f>D7+D9</f>
        <v/>
      </c>
      <c r="E10" s="22">
        <f>E7+E9</f>
        <v/>
      </c>
      <c r="F10" s="22">
        <f>F7+F9</f>
        <v/>
      </c>
    </row>
    <row r="11">
      <c r="A11" s="3" t="inlineStr">
        <is>
          <t>Discount factor</t>
        </is>
      </c>
      <c r="B11" s="24">
        <f>1/(1+Assumptions!$B$9)^1</f>
        <v/>
      </c>
      <c r="C11" s="24">
        <f>1/(1+Assumptions!$B$9)^2</f>
        <v/>
      </c>
      <c r="D11" s="24">
        <f>1/(1+Assumptions!$B$9)^3</f>
        <v/>
      </c>
      <c r="E11" s="24">
        <f>1/(1+Assumptions!$B$9)^4</f>
        <v/>
      </c>
      <c r="F11" s="24">
        <f>1/(1+Assumptions!$B$9)^5</f>
        <v/>
      </c>
    </row>
    <row r="12">
      <c r="A12" s="3" t="inlineStr">
        <is>
          <t>Present value of distrib. CF</t>
        </is>
      </c>
      <c r="B12" s="22">
        <f>B10*B11</f>
        <v/>
      </c>
      <c r="C12" s="22">
        <f>C10*C11</f>
        <v/>
      </c>
      <c r="D12" s="22">
        <f>D10*D11</f>
        <v/>
      </c>
      <c r="E12" s="22">
        <f>E10*E11</f>
        <v/>
      </c>
      <c r="F12" s="22">
        <f>F10*F11</f>
        <v/>
      </c>
    </row>
    <row r="13"/>
    <row r="14">
      <c r="A14" s="7" t="inlineStr">
        <is>
          <t>Sum of PV of distributable CF</t>
        </is>
      </c>
      <c r="B14" s="22">
        <f>SUM(B12:F12)</f>
        <v/>
      </c>
    </row>
    <row r="15">
      <c r="A15" s="3" t="inlineStr">
        <is>
          <t>Terminal value (Gordon on 2030 distrib. CF)</t>
        </is>
      </c>
      <c r="B15" s="22">
        <f>F10*(1+Assumptions!$B$29)/(Assumptions!$B$9-Assumptions!$B$29)</f>
        <v/>
      </c>
    </row>
    <row r="16">
      <c r="A16" s="3" t="inlineStr">
        <is>
          <t>PV of terminal value</t>
        </is>
      </c>
      <c r="B16" s="22">
        <f>B15/(1+Assumptions!$B$9)^5</f>
        <v/>
      </c>
    </row>
    <row r="17">
      <c r="A17" s="7" t="inlineStr">
        <is>
          <t>Equity value</t>
        </is>
      </c>
      <c r="B17" s="22">
        <f>B14+B16</f>
        <v/>
      </c>
    </row>
    <row r="18">
      <c r="A18" s="3" t="inlineStr">
        <is>
          <t>Shares outstanding (M)</t>
        </is>
      </c>
      <c r="B18" s="22">
        <f>Assumptions!$B$32</f>
        <v/>
      </c>
    </row>
    <row r="19">
      <c r="A19" s="10" t="inlineStr">
        <is>
          <t>Implied value per share ($)</t>
        </is>
      </c>
      <c r="B19" s="23">
        <f>B17/B18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 ht="24" customHeight="1">
      <c r="A1" s="1" t="inlineStr">
        <is>
          <t>Comparable companies — diversified financials</t>
        </is>
      </c>
    </row>
    <row r="2" ht="18" customHeight="1">
      <c r="A2" s="2" t="inlineStr">
        <is>
          <t>Market data as of 2026-10-16 (Yahoo Finance Oct 16 closes). $ millions, except price and per-share.</t>
        </is>
      </c>
    </row>
    <row r="3">
      <c r="A3" s="21" t="inlineStr"/>
      <c r="B3" s="21" t="inlineStr">
        <is>
          <t>JPM</t>
        </is>
      </c>
      <c r="C3" s="21" t="inlineStr">
        <is>
          <t>GS</t>
        </is>
      </c>
      <c r="D3" s="21" t="inlineStr">
        <is>
          <t>MS</t>
        </is>
      </c>
      <c r="E3" s="21" t="inlineStr">
        <is>
          <t>BLK</t>
        </is>
      </c>
      <c r="F3" s="21" t="n"/>
    </row>
    <row r="4">
      <c r="A4" s="3" t="inlineStr">
        <is>
          <t>Price, Oct 16 close ($)</t>
        </is>
      </c>
      <c r="B4" s="23" t="n">
        <v>339.72</v>
      </c>
      <c r="C4" s="23" t="n">
        <v>881.26</v>
      </c>
      <c r="D4" s="23" t="n">
        <v>180.57</v>
      </c>
      <c r="E4" s="23" t="n">
        <v>1134.38</v>
      </c>
    </row>
    <row r="5">
      <c r="A5" s="3" t="inlineStr">
        <is>
          <t>Market cap, Oct 16 ($M)</t>
        </is>
      </c>
      <c r="B5" s="22" t="n">
        <v>902180.4</v>
      </c>
      <c r="C5" s="22" t="n">
        <v>256597.5</v>
      </c>
      <c r="D5" s="22" t="n">
        <v>283598.1</v>
      </c>
      <c r="E5" s="22" t="n">
        <v>175681.4</v>
      </c>
    </row>
    <row r="6">
      <c r="A6" s="3" t="inlineStr">
        <is>
          <t>Trailing EPS ($)</t>
        </is>
      </c>
      <c r="B6" s="23" t="n">
        <v>23.84</v>
      </c>
      <c r="C6" s="23" t="n">
        <v>69.55</v>
      </c>
      <c r="D6" s="23" t="n">
        <v>12.61</v>
      </c>
      <c r="E6" s="23" t="n">
        <v>43.92</v>
      </c>
    </row>
    <row r="7">
      <c r="A7" s="3" t="inlineStr">
        <is>
          <t>Forward EPS ($)</t>
        </is>
      </c>
      <c r="B7" s="23" t="n">
        <v>25.50124</v>
      </c>
      <c r="C7" s="23" t="n">
        <v>73.35655</v>
      </c>
      <c r="D7" s="23" t="n">
        <v>13.64362</v>
      </c>
      <c r="E7" s="23" t="n">
        <v>65.07481</v>
      </c>
    </row>
    <row r="8">
      <c r="A8" s="3" t="inlineStr">
        <is>
          <t>Trailing P/E</t>
        </is>
      </c>
      <c r="B8" s="25">
        <f>B4/B6</f>
        <v/>
      </c>
      <c r="C8" s="25">
        <f>C4/C6</f>
        <v/>
      </c>
      <c r="D8" s="25">
        <f>D4/D6</f>
        <v/>
      </c>
      <c r="E8" s="25">
        <f>E4/E6</f>
        <v/>
      </c>
    </row>
    <row r="9">
      <c r="A9" s="3" t="inlineStr">
        <is>
          <t>Forward P/E</t>
        </is>
      </c>
      <c r="B9" s="25">
        <f>B4/B7</f>
        <v/>
      </c>
      <c r="C9" s="25">
        <f>C4/C7</f>
        <v/>
      </c>
      <c r="D9" s="25">
        <f>D4/D7</f>
        <v/>
      </c>
      <c r="E9" s="25">
        <f>E4/E7</f>
        <v/>
      </c>
    </row>
    <row r="10">
      <c r="A10" s="3" t="inlineStr">
        <is>
          <t>Book value per share ($)</t>
        </is>
      </c>
      <c r="B10" s="23" t="n">
        <v>132.297</v>
      </c>
      <c r="C10" s="23" t="n">
        <v>372.246</v>
      </c>
      <c r="D10" s="23" t="n">
        <v>67.801</v>
      </c>
      <c r="E10" s="23" t="n">
        <v>371.704</v>
      </c>
    </row>
    <row r="11">
      <c r="A11" s="3" t="inlineStr">
        <is>
          <t>P / B</t>
        </is>
      </c>
      <c r="B11" s="25">
        <f>B4/B10</f>
        <v/>
      </c>
      <c r="C11" s="25">
        <f>C4/C10</f>
        <v/>
      </c>
      <c r="D11" s="25">
        <f>D4/D10</f>
        <v/>
      </c>
      <c r="E11" s="25">
        <f>E4/E10</f>
        <v/>
      </c>
    </row>
    <row r="13">
      <c r="A13" s="10" t="inlineStr">
        <is>
          <t>JPM implied valuation from peer multiples</t>
        </is>
      </c>
    </row>
    <row r="14">
      <c r="A14" s="3" t="inlineStr">
        <is>
          <t>Median peer forward P/E</t>
        </is>
      </c>
      <c r="B14" s="25">
        <f>MEDIAN(C9:E9)</f>
        <v/>
      </c>
    </row>
    <row r="15">
      <c r="A15" s="7" t="inlineStr">
        <is>
          <t>Implied per share — forward P/E ($)</t>
        </is>
      </c>
      <c r="B15" s="23">
        <f>B14*B7</f>
        <v/>
      </c>
    </row>
    <row r="17">
      <c r="A17" s="3" t="inlineStr">
        <is>
          <t>Median peer P / B</t>
        </is>
      </c>
      <c r="B17" s="25">
        <f>MEDIAN(C11:E11)</f>
        <v/>
      </c>
    </row>
    <row r="18">
      <c r="A18" s="10" t="inlineStr">
        <is>
          <t>Implied per share — P / B ($)</t>
        </is>
      </c>
      <c r="B18" s="23">
        <f>B17*B10</f>
        <v/>
      </c>
      <c r="C18" s="26" t="inlineStr">
        <is>
          <t>P/B is the operative multiple for banks: book value is the clean measure of deployable capital; earnings are flattered by the 5.1% rate regime.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1" t="inlineStr">
        <is>
          <t>Check</t>
        </is>
      </c>
      <c r="B3" s="21" t="inlineStr">
        <is>
          <t>Detail</t>
        </is>
      </c>
      <c r="C3" s="21" t="inlineStr">
        <is>
          <t>Status</t>
        </is>
      </c>
      <c r="D3" s="21" t="n"/>
    </row>
    <row r="4" ht="34" customHeight="1">
      <c r="A4" s="27" t="inlineStr">
        <is>
          <t>Net income ties across statements</t>
        </is>
      </c>
      <c r="B4" s="8" t="inlineStr">
        <is>
          <t>Income-statement Net Income = cash-flow Net Income From Continuing Operations for FY2022-2025 (max diff $0.0M)</t>
        </is>
      </c>
      <c r="C4" s="28" t="inlineStr">
        <is>
          <t>PASS</t>
        </is>
      </c>
    </row>
    <row r="5" ht="34" customHeight="1">
      <c r="A5" s="27" t="inlineStr">
        <is>
          <t>Distribution bridge</t>
        </is>
      </c>
      <c r="B5" s="8" t="inlineStr">
        <is>
          <t>FY2025: |Cash Dividends Paid| $16,625.0M + |Repurchase Of Capital Stock| $34,591.0M − Preferred Stock Dividends $1,099.0M = $50,117.0M total distributions to common (90.0% of net income common)</t>
        </is>
      </c>
      <c r="C5" s="28" t="inlineStr">
        <is>
          <t>PASS</t>
        </is>
      </c>
    </row>
    <row r="6" ht="34" customHeight="1">
      <c r="A6" s="27" t="inlineStr">
        <is>
          <t>Historicals distribution formula</t>
        </is>
      </c>
      <c r="B6" s="8" t="inlineStr">
        <is>
          <t>Formula check: Total distributions = dividends + buybacks − preferred</t>
        </is>
      </c>
      <c r="C6" s="28">
        <f>IF(ABS(Historicals!E10-(Historicals!E8+Historicals!E9-Historicals!E7))&lt;0.5,"PASS","FAIL")</f>
        <v/>
      </c>
    </row>
    <row r="7" ht="34" customHeight="1">
      <c r="A7" s="27" t="inlineStr">
        <is>
          <t>Per-share arithmetic</t>
        </is>
      </c>
      <c r="B7" s="8" t="inlineStr">
        <is>
          <t>Formula check: per-share = equity value / shares</t>
        </is>
      </c>
      <c r="C7" s="28">
        <f>IF(ABS(DCF_Base!B19-DCF_Base!B17/DCF_Base!B18)&lt;0.01,"PASS","FAIL")</f>
        <v/>
      </c>
    </row>
    <row r="8" ht="34" customHeight="1">
      <c r="A8" s="27" t="inlineStr">
        <is>
          <t>Equity = PV sum + PV of TV</t>
        </is>
      </c>
      <c r="B8" s="8" t="inlineStr">
        <is>
          <t>Formula check</t>
        </is>
      </c>
      <c r="C8" s="28">
        <f>IF(ABS(DCF_Base!B17-(DCF_Base!B14+DCF_Base!B16))&lt;0.5,"PASS","FAIL")</f>
        <v/>
      </c>
    </row>
    <row r="9" ht="34" customHeight="1">
      <c r="A9" s="27" t="inlineStr">
        <is>
          <t>Cost of equity arithmetic</t>
        </is>
      </c>
      <c r="B9" s="8" t="inlineStr">
        <is>
          <t>Formula check: CoE = 5.1% + beta × 4.5%</t>
        </is>
      </c>
      <c r="C9" s="28">
        <f>IF(ABS(Assumptions!B7-(0.051+Assumptions!B6*0.045))&lt;0.0005,"PASS","FAIL")</f>
        <v/>
      </c>
    </row>
    <row r="10" ht="34" customHeight="1">
      <c r="A10" s="27" t="inlineStr">
        <is>
          <t>Terminal value arithmetic</t>
        </is>
      </c>
      <c r="B10" s="8" t="inlineStr">
        <is>
          <t>Formula check: TV = 2030 distrib × (1+g)/(CoE−g), base case</t>
        </is>
      </c>
      <c r="C10" s="28">
        <f>IF(ABS(DCF_Base!B15-DCF_Base!F10*(1+Assumptions!B27)/(Assumptions!B7-Assumptions!B27))&lt;1,"PASS","FAIL")</f>
        <v/>
      </c>
    </row>
    <row r="11" ht="34" customHeight="1">
      <c r="A11" s="27" t="inlineStr">
        <is>
          <t>Price as-of</t>
        </is>
      </c>
      <c r="B11" s="8" t="inlineStr">
        <is>
          <t>Oct 16, 2026 close pinned from Yahoo Finance daily history (2026-10-13–20 pull); info.currentPrice is the live Oct 19 quote and is NOT used</t>
        </is>
      </c>
      <c r="C11" s="28" t="inlineStr">
        <is>
          <t>PASS</t>
        </is>
      </c>
    </row>
    <row r="12" ht="34" customHeight="1">
      <c r="A12" s="27" t="inlineStr">
        <is>
          <t>Beta cross-checked</t>
        </is>
      </c>
      <c r="B12" s="8" t="inlineStr">
        <is>
          <t>Yahoo Finance 1.015 (2026-10-19); Finnhub 1.04; alcapitaladvisory 1.01; MarketBeat 1.02. Used 1.02</t>
        </is>
      </c>
      <c r="C12" s="28" t="inlineStr">
        <is>
          <t>PASS</t>
        </is>
      </c>
    </row>
    <row r="13" ht="34" customHeight="1">
      <c r="A13" s="27" t="inlineStr">
        <is>
          <t>Risk-free rate</t>
        </is>
      </c>
      <c r="B13" s="8" t="inlineStr">
        <is>
          <t>US 10Y 5.085% on 2026-10-19 (Reuters); Gate Ventures/Al Jazeera recaps ~5.09%; used 5.1%</t>
        </is>
      </c>
      <c r="C13" s="28" t="inlineStr">
        <is>
          <t>PASS</t>
        </is>
      </c>
    </row>
    <row r="14" ht="34" customHeight="1">
      <c r="A14" s="27" t="inlineStr">
        <is>
          <t>MS FY2021 column blank in source</t>
        </is>
      </c>
      <c r="B14" s="8" t="inlineStr">
        <is>
          <t>Yahoo Finance annual pull carries a blank 2021 column for MS only; model uses FY2022–2025 for all four</t>
        </is>
      </c>
      <c r="C14" s="28" t="inlineStr">
        <is>
          <t>PASS</t>
        </is>
      </c>
    </row>
    <row r="15" ht="34" customHeight="1">
      <c r="A15" s="27" t="inlineStr">
        <is>
          <t>DCF vs market gap is explainable</t>
        </is>
      </c>
      <c r="B15" s="8" t="inlineStr">
        <is>
          <t>Base per-share $313.42 trails $339.72 by 7.7%: the market prices slightly richer perpetual growth than my 3.0% terminal; peer forward P/E median (13.2x) implies $337 and peer P/B median (2.66x) implies $352 — both within reach of the quote, consistent with HOLD.</t>
        </is>
      </c>
      <c r="C15" s="28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1" t="inlineStr">
        <is>
          <t>#</t>
        </is>
      </c>
      <c r="B3" s="21" t="inlineStr">
        <is>
          <t>Source</t>
        </is>
      </c>
      <c r="C3" s="21" t="inlineStr">
        <is>
          <t>URL</t>
        </is>
      </c>
      <c r="D3" s="21" t="inlineStr">
        <is>
          <t>Accessed</t>
        </is>
      </c>
      <c r="E3" s="21" t="inlineStr">
        <is>
          <t>Used for</t>
        </is>
      </c>
    </row>
    <row r="4" ht="28" customHeight="1">
      <c r="A4" s="29" t="n">
        <v>1</v>
      </c>
      <c r="B4" s="8" t="inlineStr">
        <is>
          <t>Yahoo Finance — JPM quote &amp; financials</t>
        </is>
      </c>
      <c r="C4" s="30" t="inlineStr">
        <is>
          <t>https://finance.yahoo.com/quote/JPM</t>
        </is>
      </c>
      <c r="D4" s="29" t="inlineStr">
        <is>
          <t>2026-10-19</t>
        </is>
      </c>
      <c r="E4" s="8" t="inlineStr">
        <is>
          <t>Price, beta, shares, annual statements</t>
        </is>
      </c>
    </row>
    <row r="5" ht="28" customHeight="1">
      <c r="A5" s="29" t="n">
        <v>2</v>
      </c>
      <c r="B5" s="8" t="inlineStr">
        <is>
          <t>Yahoo Finance — GS quote &amp; financials</t>
        </is>
      </c>
      <c r="C5" s="30" t="inlineStr">
        <is>
          <t>https://finance.yahoo.com/quote/GS</t>
        </is>
      </c>
      <c r="D5" s="29" t="inlineStr">
        <is>
          <t>2026-10-19</t>
        </is>
      </c>
      <c r="E5" s="8" t="inlineStr">
        <is>
          <t>Price, beta, shares, annual statements</t>
        </is>
      </c>
    </row>
    <row r="6" ht="28" customHeight="1">
      <c r="A6" s="29" t="n">
        <v>3</v>
      </c>
      <c r="B6" s="8" t="inlineStr">
        <is>
          <t>Yahoo Finance — MS quote &amp; financials</t>
        </is>
      </c>
      <c r="C6" s="30" t="inlineStr">
        <is>
          <t>https://finance.yahoo.com/quote/MS</t>
        </is>
      </c>
      <c r="D6" s="29" t="inlineStr">
        <is>
          <t>2026-10-19</t>
        </is>
      </c>
      <c r="E6" s="8" t="inlineStr">
        <is>
          <t>Price, beta, shares, annual statements</t>
        </is>
      </c>
    </row>
    <row r="7" ht="28" customHeight="1">
      <c r="A7" s="29" t="n">
        <v>4</v>
      </c>
      <c r="B7" s="8" t="inlineStr">
        <is>
          <t>Yahoo Finance — BLK quote &amp; financials</t>
        </is>
      </c>
      <c r="C7" s="30" t="inlineStr">
        <is>
          <t>https://finance.yahoo.com/quote/BLK</t>
        </is>
      </c>
      <c r="D7" s="29" t="inlineStr">
        <is>
          <t>2026-10-19</t>
        </is>
      </c>
      <c r="E7" s="8" t="inlineStr">
        <is>
          <t>Price, beta, shares, annual statements</t>
        </is>
      </c>
    </row>
    <row r="8" ht="28" customHeight="1">
      <c r="A8" s="29" t="n">
        <v>5</v>
      </c>
      <c r="B8" s="8" t="inlineStr">
        <is>
          <t>Reuters — 10Y yield 5.085% on Oct 19, 2026</t>
        </is>
      </c>
      <c r="C8" s="30" t="inlineStr">
        <is>
          <t>https://www.reuters.com/business/wall-st-futures-climb-ai-stocks-rebound-oil-yields-fall-2026-10-19/</t>
        </is>
      </c>
      <c r="D8" s="29" t="inlineStr">
        <is>
          <t>2026-10-19</t>
        </is>
      </c>
      <c r="E8" s="8" t="inlineStr">
        <is>
          <t>Risk-free rate</t>
        </is>
      </c>
    </row>
    <row r="9" ht="28" customHeight="1">
      <c r="A9" s="29" t="n">
        <v>6</v>
      </c>
      <c r="B9" s="8" t="inlineStr">
        <is>
          <t>Finnhub — JPM beta</t>
        </is>
      </c>
      <c r="C9" s="30" t="inlineStr">
        <is>
          <t>https://finnhub.io/?q=%22JPM%22</t>
        </is>
      </c>
      <c r="D9" s="29" t="inlineStr">
        <is>
          <t>2026-10-19</t>
        </is>
      </c>
      <c r="E9" s="8" t="inlineStr">
        <is>
          <t>Beta cross-check (1.04)</t>
        </is>
      </c>
    </row>
    <row r="10" ht="28" customHeight="1">
      <c r="A10" s="29" t="n">
        <v>7</v>
      </c>
      <c r="B10" s="8" t="inlineStr">
        <is>
          <t>Finnhub — MS beta</t>
        </is>
      </c>
      <c r="C10" s="30" t="inlineStr">
        <is>
          <t>https://finnhub.io/?q=%22MS%22</t>
        </is>
      </c>
      <c r="D10" s="29" t="inlineStr">
        <is>
          <t>2026-10-19</t>
        </is>
      </c>
      <c r="E10" s="8" t="inlineStr">
        <is>
          <t>Beta cross-check (1.23)</t>
        </is>
      </c>
    </row>
    <row r="11" ht="28" customHeight="1">
      <c r="A11" s="29" t="n">
        <v>8</v>
      </c>
      <c r="B11" s="8" t="inlineStr">
        <is>
          <t>MarketBeat — GS</t>
        </is>
      </c>
      <c r="C11" s="30" t="inlineStr">
        <is>
          <t>https://www.marketbeat.com/stocks/NYSE/GS/</t>
        </is>
      </c>
      <c r="D11" s="29" t="inlineStr">
        <is>
          <t>2026-10-19</t>
        </is>
      </c>
      <c r="E11" s="8" t="inlineStr">
        <is>
          <t>Beta cross-check (1.29)</t>
        </is>
      </c>
    </row>
    <row r="12" ht="28" customHeight="1">
      <c r="A12" s="29" t="n">
        <v>9</v>
      </c>
      <c r="B12" s="8" t="inlineStr">
        <is>
          <t>MarketBeat — MS</t>
        </is>
      </c>
      <c r="C12" s="30" t="inlineStr">
        <is>
          <t>https://www.marketbeat.com/stocks/NYSE/MS/</t>
        </is>
      </c>
      <c r="D12" s="29" t="inlineStr">
        <is>
          <t>2026-10-19</t>
        </is>
      </c>
      <c r="E12" s="8" t="inlineStr">
        <is>
          <t>Beta cross-check (1.22)</t>
        </is>
      </c>
    </row>
    <row r="13" ht="28" customHeight="1">
      <c r="A13" s="29" t="n">
        <v>10</v>
      </c>
      <c r="B13" s="8" t="inlineStr">
        <is>
          <t>MarketBeat — BLK</t>
        </is>
      </c>
      <c r="C13" s="30" t="inlineStr">
        <is>
          <t>https://www.marketbeat.com/stocks/NYSE/BLK/</t>
        </is>
      </c>
      <c r="D13" s="29" t="inlineStr">
        <is>
          <t>2026-10-19</t>
        </is>
      </c>
      <c r="E13" s="8" t="inlineStr">
        <is>
          <t>Beta cross-check (1.41, outlier vs cluster)</t>
        </is>
      </c>
    </row>
    <row r="14" ht="28" customHeight="1">
      <c r="A14" s="29" t="n">
        <v>11</v>
      </c>
      <c r="B14" s="8" t="inlineStr">
        <is>
          <t>wallstreetnumbers — BLK beta history</t>
        </is>
      </c>
      <c r="C14" s="30" t="inlineStr">
        <is>
          <t>https://wallstreetnumbers.com/stocks/blk/beta</t>
        </is>
      </c>
      <c r="D14" s="29" t="inlineStr">
        <is>
          <t>2026-10-19</t>
        </is>
      </c>
      <c r="E14" s="8" t="inlineStr">
        <is>
          <t>Beta cross-check (1.20 on Oct 16, 2026)</t>
        </is>
      </c>
    </row>
    <row r="15" ht="28" customHeight="1">
      <c r="A15" s="29" t="n">
        <v>12</v>
      </c>
      <c r="B15" s="8" t="inlineStr">
        <is>
          <t>TipRanks — BLK statistics</t>
        </is>
      </c>
      <c r="C15" s="30" t="inlineStr">
        <is>
          <t>https://www.tipranks.com/stocks/blk/statistics</t>
        </is>
      </c>
      <c r="D15" s="29" t="inlineStr">
        <is>
          <t>2026-10-19</t>
        </is>
      </c>
      <c r="E15" s="8" t="inlineStr">
        <is>
          <t>Beta cross-check (1.19); payout/net-cash context</t>
        </is>
      </c>
    </row>
    <row r="16" ht="28" customHeight="1">
      <c r="A16" s="29" t="n">
        <v>13</v>
      </c>
      <c r="B16" s="8" t="inlineStr">
        <is>
          <t>Defense World — JPM dividend increase</t>
        </is>
      </c>
      <c r="C16" s="30" t="inlineStr">
        <is>
          <t>https://www.defenseworld.net/2026/10/18/jpmorgan-chase-co-jpm-stock-sold-by-cornerstone-enterprises-llc.html</t>
        </is>
      </c>
      <c r="D16" s="29" t="inlineStr">
        <is>
          <t>2026-10-19</t>
        </is>
      </c>
      <c r="E16" s="8" t="inlineStr">
        <is>
          <t>JPM quarterly dividend raised to $1.65 ($6.60 annualized)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2026-10-19T15:32:49+00:00Z</dcterms:created>
  <dcterms:modified xmlns:dcterms="http://purl.org/dc/terms/" xmlns:xsi="http://www.w3.org/2001/XMLSchema-instance" xsi:type="dcterms:W3CDTF">2026-10-19T15:32:49+00:00Z</dcterms:modified>
</cp:coreProperties>
</file>