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Historicals" sheetId="3" state="visible" r:id="rId3"/>
    <sheet xmlns:r="http://schemas.openxmlformats.org/officeDocument/2006/relationships" name="DCF_Base" sheetId="4" state="visible" r:id="rId4"/>
    <sheet xmlns:r="http://schemas.openxmlformats.org/officeDocument/2006/relationships" name="DCF_Bull" sheetId="5" state="visible" r:id="rId5"/>
    <sheet xmlns:r="http://schemas.openxmlformats.org/officeDocument/2006/relationships" name="DCF_Bear" sheetId="6" state="visible" r:id="rId6"/>
    <sheet xmlns:r="http://schemas.openxmlformats.org/officeDocument/2006/relationships" name="Comps" sheetId="7" state="visible" r:id="rId7"/>
    <sheet xmlns:r="http://schemas.openxmlformats.org/officeDocument/2006/relationships" name="Checks" sheetId="8" state="visible" r:id="rId8"/>
    <sheet xmlns:r="http://schemas.openxmlformats.org/officeDocument/2006/relationships" name="Source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&quot;$&quot;#,##0.00"/>
    <numFmt numFmtId="165" formatCode="0.0%"/>
    <numFmt numFmtId="166" formatCode="#,##0.0"/>
    <numFmt numFmtId="167" formatCode="0.000"/>
    <numFmt numFmtId="168" formatCode="#,##0.0&quot;x&quot;"/>
  </numFmts>
  <fonts count="13">
    <font>
      <name val="Calibri"/>
      <family val="2"/>
      <color theme="1"/>
      <sz val="11"/>
      <scheme val="minor"/>
    </font>
    <font>
      <name val="Calibri"/>
      <b val="1"/>
      <color rgb="001F4E78"/>
      <sz val="14"/>
    </font>
    <font>
      <name val="Calibri"/>
      <i val="1"/>
      <color rgb="00595959"/>
      <sz val="11"/>
    </font>
    <font>
      <name val="Calibri"/>
      <b val="1"/>
      <sz val="12"/>
    </font>
    <font>
      <name val="Calibri"/>
      <b val="1"/>
      <color rgb="00C00000"/>
      <sz val="12"/>
    </font>
    <font>
      <name val="Calibri"/>
      <sz val="11"/>
    </font>
    <font>
      <name val="Calibri"/>
      <b val="1"/>
      <sz val="11"/>
    </font>
    <font>
      <name val="Calibri"/>
      <i val="1"/>
      <color rgb="00595959"/>
      <sz val="9"/>
    </font>
    <font>
      <name val="Calibri"/>
      <b val="1"/>
      <color rgb="001F4E78"/>
      <sz val="11"/>
    </font>
    <font>
      <name val="Calibri"/>
      <b val="1"/>
      <sz val="9"/>
    </font>
    <font>
      <name val="Calibri"/>
      <color rgb="00595959"/>
      <sz val="9"/>
    </font>
    <font>
      <name val="Calibri"/>
      <b val="1"/>
      <color rgb="00FFFFFF"/>
      <sz val="11"/>
    </font>
    <font>
      <name val="Calibri"/>
      <color rgb="000563C1"/>
      <sz val="10"/>
      <u val="single"/>
    </font>
  </fonts>
  <fills count="6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5" fillId="0" borderId="0" pivotButton="0" quotePrefix="0" xfId="0"/>
    <xf numFmtId="164" fontId="3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horizontal="left" vertical="center" wrapText="1"/>
    </xf>
    <xf numFmtId="0" fontId="6" fillId="0" borderId="0" pivotButton="0" quotePrefix="0" xfId="0"/>
    <xf numFmtId="0" fontId="5" fillId="0" borderId="0" applyAlignment="1" pivotButton="0" quotePrefix="0" xfId="0">
      <alignment horizontal="left" vertical="center" wrapText="1"/>
    </xf>
    <xf numFmtId="0" fontId="7" fillId="0" borderId="0" pivotButton="0" quotePrefix="0" xfId="0"/>
    <xf numFmtId="0" fontId="8" fillId="0" borderId="0" pivotButton="0" quotePrefix="0" xfId="0"/>
    <xf numFmtId="165" fontId="0" fillId="2" borderId="0" pivotButton="0" quotePrefix="0" xfId="0"/>
    <xf numFmtId="0" fontId="9" fillId="3" borderId="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left" vertical="center" wrapText="1"/>
    </xf>
    <xf numFmtId="0" fontId="9" fillId="4" borderId="0" applyAlignment="1" pivotButton="0" quotePrefix="0" xfId="0">
      <alignment horizontal="center" vertical="center" wrapText="1"/>
    </xf>
    <xf numFmtId="2" fontId="0" fillId="2" borderId="0" pivotButton="0" quotePrefix="0" xfId="0"/>
    <xf numFmtId="165" fontId="0" fillId="0" borderId="0" pivotButton="0" quotePrefix="0" xfId="0"/>
    <xf numFmtId="0" fontId="9" fillId="0" borderId="0" applyAlignment="1" pivotButton="0" quotePrefix="0" xfId="0">
      <alignment horizontal="center" vertical="center" wrapText="1"/>
    </xf>
    <xf numFmtId="166" fontId="0" fillId="2" borderId="0" pivotButton="0" quotePrefix="0" xfId="0"/>
    <xf numFmtId="0" fontId="11" fillId="5" borderId="0" applyAlignment="1" pivotButton="0" quotePrefix="0" xfId="0">
      <alignment horizontal="center" vertical="center" wrapText="1"/>
    </xf>
    <xf numFmtId="0" fontId="11" fillId="5" borderId="1" applyAlignment="1" pivotButton="0" quotePrefix="0" xfId="0">
      <alignment horizontal="center" vertical="center" wrapText="1"/>
    </xf>
    <xf numFmtId="166" fontId="0" fillId="0" borderId="0" pivotButton="0" quotePrefix="0" xfId="0"/>
    <xf numFmtId="167" fontId="0" fillId="0" borderId="0" pivotButton="0" quotePrefix="0" xfId="0"/>
    <xf numFmtId="164" fontId="0" fillId="0" borderId="0" pivotButton="0" quotePrefix="0" xfId="0"/>
    <xf numFmtId="168" fontId="0" fillId="0" borderId="0" pivotButton="0" quotePrefix="0" xfId="0"/>
    <xf numFmtId="0" fontId="7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9.xml.rels><Relationships xmlns="http://schemas.openxmlformats.org/package/2006/relationships"><Relationship Type="http://schemas.openxmlformats.org/officeDocument/2006/relationships/hyperlink" Target="https://finance.yahoo.com/quote/AMD" TargetMode="External" Id="rId1"/><Relationship Type="http://schemas.openxmlformats.org/officeDocument/2006/relationships/hyperlink" Target="https://www.marketbeat.com/stocks/NASDAQ/AMD/competitors-and-alternatives/" TargetMode="External" Id="rId2"/><Relationship Type="http://schemas.openxmlformats.org/officeDocument/2006/relationships/hyperlink" Target="https://finnhub.io/?q=%22AMD%22" TargetMode="External" Id="rId3"/><Relationship Type="http://schemas.openxmlformats.org/officeDocument/2006/relationships/hyperlink" Target="https://www.reuters.com/business/wall-st-futures-climb-ai-stocks-rebound-oil-yields-fall-2026-10-19/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90" customWidth="1" min="2" max="2"/>
    <col width="10" customWidth="1" min="3" max="3"/>
    <col width="10" customWidth="1" min="4" max="4"/>
  </cols>
  <sheetData>
    <row r="1" ht="24" customHeight="1">
      <c r="A1" s="1" t="inlineStr">
        <is>
          <t>Equity Research Teardown  —  Advanced Micro Devices, Inc. (NASDAQ: AMD)</t>
        </is>
      </c>
    </row>
    <row r="2" ht="18" customHeight="1">
      <c r="A2" s="2" t="inlineStr">
        <is>
          <t>Independent equity research project by Archit Chawla  |  As of October 19, 2026</t>
        </is>
      </c>
    </row>
    <row r="4">
      <c r="A4" s="3" t="inlineStr">
        <is>
          <t>Current price (Oct 16, 2026 close)</t>
        </is>
      </c>
      <c r="B4" s="4" t="n">
        <v>528.75</v>
      </c>
    </row>
    <row r="5">
      <c r="A5" s="3" t="inlineStr">
        <is>
          <t>Recommendation</t>
        </is>
      </c>
      <c r="B5" s="5" t="inlineStr">
        <is>
          <t>PASS</t>
        </is>
      </c>
    </row>
    <row r="6">
      <c r="A6" s="3" t="inlineStr">
        <is>
          <t>One-line thesis</t>
        </is>
      </c>
      <c r="B6" s="6" t="inlineStr">
        <is>
          <t>The credible #2 in AI accelerators — but 141x trailing earnings leaves no room for a stumble, and my bull case is still ~69% below the quote.</t>
        </is>
      </c>
    </row>
    <row r="8">
      <c r="A8" s="7" t="inlineStr">
        <is>
          <t>Contents</t>
        </is>
      </c>
    </row>
    <row r="9">
      <c r="A9" s="7" t="inlineStr">
        <is>
          <t>Assumptions</t>
        </is>
      </c>
      <c r="B9" s="8" t="inlineStr">
        <is>
          <t>WACC build and all forecast drivers; [DATA] vs [JUDGMENT] tags</t>
        </is>
      </c>
    </row>
    <row r="10">
      <c r="A10" s="7" t="inlineStr">
        <is>
          <t>Historicals</t>
        </is>
      </c>
      <c r="B10" s="8" t="inlineStr">
        <is>
          <t>Financials from Yahoo Finance annual statements (FY2022–FY2025 (fiscal year ends December))</t>
        </is>
      </c>
    </row>
    <row r="11">
      <c r="A11" s="7" t="inlineStr">
        <is>
          <t>DCF_Base / DCF_Bull / DCF_Bear</t>
        </is>
      </c>
      <c r="B11" s="8" t="inlineStr">
        <is>
          <t>5-year DCF per case; all formulas live</t>
        </is>
      </c>
    </row>
    <row r="12">
      <c r="A12" s="7" t="inlineStr">
        <is>
          <t>Comps</t>
        </is>
      </c>
      <c r="B12" s="8" t="inlineStr">
        <is>
          <t>NVDA, AVGO, ALAB: EV/Revenue, EV/EBITDA, P/E and implied ranges</t>
        </is>
      </c>
    </row>
    <row r="13">
      <c r="A13" s="7" t="inlineStr">
        <is>
          <t>Checks</t>
        </is>
      </c>
      <c r="B13" s="8" t="inlineStr">
        <is>
          <t>Verification appendix: tie-outs and data sources</t>
        </is>
      </c>
    </row>
    <row r="14">
      <c r="A14" s="7" t="inlineStr">
        <is>
          <t>Sources</t>
        </is>
      </c>
      <c r="B14" s="8" t="inlineStr">
        <is>
          <t>Full URLs and access dates</t>
        </is>
      </c>
    </row>
    <row r="16">
      <c r="A16" s="9" t="inlineStr">
        <is>
          <t>Disclaimer: Independent project for skill demonstration; not investment advice.</t>
        </is>
      </c>
    </row>
  </sheetData>
  <mergeCells count="3">
    <mergeCell ref="A1:D1"/>
    <mergeCell ref="A16:D16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6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2" customWidth="1" min="7" max="7"/>
    <col width="60" customWidth="1" min="8" max="8"/>
  </cols>
  <sheetData>
    <row r="1" ht="24" customHeight="1">
      <c r="A1" s="1" t="inlineStr">
        <is>
          <t>Assumptions</t>
        </is>
      </c>
    </row>
    <row r="2" ht="18" customHeight="1">
      <c r="A2" s="2" t="inlineStr">
        <is>
          <t>Blue cells are inputs. [DATA] = market/filing data; [JUDGMENT] = analyst estimate with rationale.</t>
        </is>
      </c>
    </row>
    <row r="3">
      <c r="A3" s="10" t="inlineStr">
        <is>
          <t>WACC build</t>
        </is>
      </c>
    </row>
    <row r="4">
      <c r="A4" s="3" t="inlineStr">
        <is>
          <t>Risk-free rate (US 10Y)</t>
        </is>
      </c>
      <c r="B4" s="11" t="n">
        <v>0.051</v>
      </c>
      <c r="C4" s="12" t="inlineStr">
        <is>
          <t>[DATA]</t>
        </is>
      </c>
      <c r="D4" s="13" t="inlineStr">
        <is>
          <t>5.09% on 2026-10-19 (Reuters); rounded to 5.1%</t>
        </is>
      </c>
    </row>
    <row r="5">
      <c r="A5" s="3" t="inlineStr">
        <is>
          <t>Equity risk premium</t>
        </is>
      </c>
      <c r="B5" s="11" t="n">
        <v>0.045</v>
      </c>
      <c r="C5" s="14" t="inlineStr">
        <is>
          <t>[JUDGMENT]</t>
        </is>
      </c>
      <c r="D5" s="13" t="inlineStr">
        <is>
          <t>Long-run US ERP assumption</t>
        </is>
      </c>
    </row>
    <row r="6">
      <c r="A6" s="3" t="inlineStr">
        <is>
          <t>Beta (AMD)</t>
        </is>
      </c>
      <c r="B6" s="15" t="n">
        <v>2.45</v>
      </c>
      <c r="C6" s="12" t="inlineStr">
        <is>
          <t>[DATA]</t>
        </is>
      </c>
      <c r="D6" s="13" t="inlineStr">
        <is>
          <t>Yahoo Finance 2.454 (2026-10-19); cross-checked MarketBeat 2.45, Finnhub 2.54</t>
        </is>
      </c>
    </row>
    <row r="7">
      <c r="A7" s="3" t="inlineStr">
        <is>
          <t>Cost of equity (CAPM)</t>
        </is>
      </c>
      <c r="B7" s="16">
        <f>Assumptions!$B$4+Assumptions!$B$6*Assumptions!$B$5</f>
        <v/>
      </c>
      <c r="C7" s="17" t="inlineStr">
        <is>
          <t>[CALC]</t>
        </is>
      </c>
      <c r="D7" s="13" t="inlineStr">
        <is>
          <t>Rf + beta × ERP</t>
        </is>
      </c>
    </row>
    <row r="8">
      <c r="A8" s="3" t="inlineStr">
        <is>
          <t>Pre-tax cost of debt</t>
        </is>
      </c>
      <c r="B8" s="11" t="n">
        <v>0.05</v>
      </c>
      <c r="C8" s="14" t="inlineStr">
        <is>
          <t>[JUDGMENT]</t>
        </is>
      </c>
      <c r="D8" s="13" t="inlineStr">
        <is>
          <t>Investment-grade, lightly levered; through-cycle new-issue estimate</t>
        </is>
      </c>
    </row>
    <row r="9">
      <c r="A9" s="3" t="inlineStr">
        <is>
          <t>Marginal tax rate</t>
        </is>
      </c>
      <c r="B9" s="11" t="n">
        <v>0.21</v>
      </c>
      <c r="C9" s="14" t="inlineStr">
        <is>
          <t>[JUDGMENT]</t>
        </is>
      </c>
      <c r="D9" s="13" t="inlineStr">
        <is>
          <t>US statutory; 2022/2023/2025 provisions were benefits (valuation-allowance moves) — normalized</t>
        </is>
      </c>
    </row>
    <row r="10">
      <c r="A10" s="3" t="inlineStr">
        <is>
          <t>After-tax cost of debt</t>
        </is>
      </c>
      <c r="B10" s="16">
        <f>Assumptions!$B$8*(1-Assumptions!$B$9)</f>
        <v/>
      </c>
      <c r="C10" s="17" t="inlineStr">
        <is>
          <t>[CALC]</t>
        </is>
      </c>
      <c r="D10" s="13" t="inlineStr"/>
    </row>
    <row r="11">
      <c r="A11" s="3" t="inlineStr">
        <is>
          <t>Market value of equity ($M)</t>
        </is>
      </c>
      <c r="B11" s="18" t="n">
        <v>902049.6</v>
      </c>
      <c r="C11" s="12" t="inlineStr">
        <is>
          <t>[DATA]</t>
        </is>
      </c>
      <c r="D11" s="13" t="inlineStr">
        <is>
          <t>Yahoo Finance 2026-10-19 ($902.0B); price × shares cross-check: $863.2B</t>
        </is>
      </c>
    </row>
    <row r="12">
      <c r="A12" s="3" t="inlineStr">
        <is>
          <t>Book value of debt ($M)</t>
        </is>
      </c>
      <c r="B12" s="18" t="n">
        <v>4276</v>
      </c>
      <c r="C12" s="12" t="inlineStr">
        <is>
          <t>[DATA]</t>
        </is>
      </c>
      <c r="D12" s="13" t="inlineStr">
        <is>
          <t>Q2 2026 balance sheet (2026-06-30)</t>
        </is>
      </c>
    </row>
    <row r="13">
      <c r="A13" s="3" t="inlineStr">
        <is>
          <t>Weight of equity</t>
        </is>
      </c>
      <c r="B13" s="16">
        <f>Assumptions!$B$11/(Assumptions!$B$11+Assumptions!$B$12)</f>
        <v/>
      </c>
      <c r="C13" s="17" t="inlineStr">
        <is>
          <t>[CALC]</t>
        </is>
      </c>
      <c r="D13" s="13" t="inlineStr"/>
    </row>
    <row r="14">
      <c r="A14" s="3" t="inlineStr">
        <is>
          <t>Weight of debt</t>
        </is>
      </c>
      <c r="B14" s="16">
        <f>Assumptions!$B$12/(Assumptions!$B$11+Assumptions!$B$12)</f>
        <v/>
      </c>
      <c r="C14" s="17" t="inlineStr">
        <is>
          <t>[CALC]</t>
        </is>
      </c>
      <c r="D14" s="13" t="inlineStr"/>
    </row>
    <row r="15">
      <c r="A15" s="3" t="inlineStr">
        <is>
          <t>WACC — base case</t>
        </is>
      </c>
      <c r="B15" s="16">
        <f>Assumptions!$B$13*Assumptions!$B$7+Assumptions!$B$14*Assumptions!$B$10</f>
        <v/>
      </c>
      <c r="C15" s="17" t="inlineStr">
        <is>
          <t>[CALC]</t>
        </is>
      </c>
      <c r="D15" s="13" t="inlineStr"/>
    </row>
    <row r="16">
      <c r="A16" s="3" t="inlineStr">
        <is>
          <t>WACC — bull case (-100 bps)</t>
        </is>
      </c>
      <c r="B16" s="16">
        <f>Assumptions!$B$15-0.01</f>
        <v/>
      </c>
      <c r="C16" s="17" t="inlineStr">
        <is>
          <t>[CALC]</t>
        </is>
      </c>
      <c r="D16" s="13" t="inlineStr">
        <is>
          <t>Rate-normalization scenario</t>
        </is>
      </c>
    </row>
    <row r="17">
      <c r="A17" s="3" t="inlineStr">
        <is>
          <t>WACC — bear case (+100 bps)</t>
        </is>
      </c>
      <c r="B17" s="16">
        <f>Assumptions!$B$15+0.01</f>
        <v/>
      </c>
      <c r="C17" s="17" t="inlineStr">
        <is>
          <t>[CALC]</t>
        </is>
      </c>
      <c r="D17" s="13" t="inlineStr">
        <is>
          <t>Higher-for-longer scenario</t>
        </is>
      </c>
    </row>
    <row r="19">
      <c r="A19" s="10" t="inlineStr">
        <is>
          <t>Forecast drivers (FY2026–FY2030)</t>
        </is>
      </c>
    </row>
    <row r="20">
      <c r="B20" s="19" t="n">
        <v>2026</v>
      </c>
      <c r="C20" s="19" t="n">
        <v>2027</v>
      </c>
      <c r="D20" s="19" t="n">
        <v>2028</v>
      </c>
      <c r="E20" s="19" t="n">
        <v>2029</v>
      </c>
      <c r="F20" s="19" t="n">
        <v>2030</v>
      </c>
    </row>
    <row r="21">
      <c r="A21" s="3" t="inlineStr">
        <is>
          <t>Revenue growth — base</t>
        </is>
      </c>
      <c r="B21" s="11" t="n">
        <v>0.45</v>
      </c>
      <c r="C21" s="11" t="n">
        <v>0.32</v>
      </c>
      <c r="D21" s="11" t="n">
        <v>0.25</v>
      </c>
      <c r="E21" s="11" t="n">
        <v>0.2</v>
      </c>
      <c r="F21" s="11" t="n">
        <v>0.15</v>
      </c>
      <c r="G21" s="14" t="inlineStr">
        <is>
          <t>[JUDGMENT]</t>
        </is>
      </c>
      <c r="H21" s="13" t="inlineStr">
        <is>
          <t>Q2 2026 revenue +50.1% YoY ($11.54B); taper from FY2025 +34.3%</t>
        </is>
      </c>
    </row>
    <row r="22">
      <c r="A22" s="3" t="inlineStr">
        <is>
          <t>Revenue growth — bull</t>
        </is>
      </c>
      <c r="B22" s="11" t="n">
        <v>0.55</v>
      </c>
      <c r="C22" s="11" t="n">
        <v>0.4</v>
      </c>
      <c r="D22" s="11" t="n">
        <v>0.32</v>
      </c>
      <c r="E22" s="11" t="n">
        <v>0.26</v>
      </c>
      <c r="F22" s="11" t="n">
        <v>0.2</v>
      </c>
      <c r="G22" s="14" t="inlineStr">
        <is>
          <t>[JUDGMENT]</t>
        </is>
      </c>
      <c r="H22" s="13" t="inlineStr">
        <is>
          <t>Instinct accelerators take durable datacenter share; EPYC/embedded compounding</t>
        </is>
      </c>
    </row>
    <row r="23">
      <c r="A23" s="3" t="inlineStr">
        <is>
          <t>Revenue growth — bear</t>
        </is>
      </c>
      <c r="B23" s="11" t="n">
        <v>0.3</v>
      </c>
      <c r="C23" s="11" t="n">
        <v>0.15</v>
      </c>
      <c r="D23" s="11" t="n">
        <v>0.05</v>
      </c>
      <c r="E23" s="11" t="n">
        <v>-0.15</v>
      </c>
      <c r="F23" s="11" t="n">
        <v>0.1</v>
      </c>
      <c r="G23" s="14" t="inlineStr">
        <is>
          <t>[JUDGMENT]</t>
        </is>
      </c>
      <c r="H23" s="13" t="inlineStr">
        <is>
          <t>Semi down-cycle in FY2029 (−15%): AI capex pause hits the challenger first</t>
        </is>
      </c>
    </row>
    <row r="24">
      <c r="A24" s="3" t="inlineStr">
        <is>
          <t>EBITDA margin — base</t>
        </is>
      </c>
      <c r="B24" s="11" t="n">
        <v>0.22</v>
      </c>
      <c r="C24" s="11" t="n">
        <v>0.24</v>
      </c>
      <c r="D24" s="11" t="n">
        <v>0.26</v>
      </c>
      <c r="E24" s="11" t="n">
        <v>0.28</v>
      </c>
      <c r="F24" s="11" t="n">
        <v>0.3</v>
      </c>
      <c r="G24" s="14" t="inlineStr">
        <is>
          <t>[JUDGMENT]</t>
        </is>
      </c>
      <c r="H24" s="13" t="inlineStr">
        <is>
          <t>FY2025 EBITDA margin 21.0%; expand to 30% on datacenter mix</t>
        </is>
      </c>
    </row>
    <row r="25">
      <c r="A25" s="3" t="inlineStr">
        <is>
          <t>EBITDA margin — bull</t>
        </is>
      </c>
      <c r="B25" s="11" t="n">
        <v>0.24</v>
      </c>
      <c r="C25" s="11" t="n">
        <v>0.27</v>
      </c>
      <c r="D25" s="11" t="n">
        <v>0.3</v>
      </c>
      <c r="E25" s="11" t="n">
        <v>0.32</v>
      </c>
      <c r="F25" s="11" t="n">
        <v>0.34</v>
      </c>
      <c r="G25" s="14" t="inlineStr">
        <is>
          <t>[JUDGMENT]</t>
        </is>
      </c>
      <c r="H25" s="13" t="inlineStr">
        <is>
          <t>Accelerator-rich mix drives 34% EBITDA margin</t>
        </is>
      </c>
    </row>
    <row r="26">
      <c r="A26" s="3" t="inlineStr">
        <is>
          <t>EBITDA margin — bear</t>
        </is>
      </c>
      <c r="B26" s="11" t="n">
        <v>0.2</v>
      </c>
      <c r="C26" s="11" t="n">
        <v>0.19</v>
      </c>
      <c r="D26" s="11" t="n">
        <v>0.18</v>
      </c>
      <c r="E26" s="11" t="n">
        <v>0.17</v>
      </c>
      <c r="F26" s="11" t="n">
        <v>0.18</v>
      </c>
      <c r="G26" s="14" t="inlineStr">
        <is>
          <t>[JUDGMENT]</t>
        </is>
      </c>
      <c r="H26" s="13" t="inlineStr">
        <is>
          <t>Pricing pressure vs NVDA and under-utilization in the down year</t>
        </is>
      </c>
    </row>
    <row r="28">
      <c r="A28" s="3" t="inlineStr">
        <is>
          <t>D&amp;A (% of revenue)</t>
        </is>
      </c>
      <c r="B28" s="11" t="n">
        <v>0.08</v>
      </c>
      <c r="G28" s="14" t="inlineStr">
        <is>
          <t>[JUDGMENT]</t>
        </is>
      </c>
      <c r="H28" s="13" t="inlineStr">
        <is>
          <t>FY2025: 8.7% of revenue (Xilinx intangibles amortizing); declining</t>
        </is>
      </c>
    </row>
    <row r="29">
      <c r="A29" s="3" t="inlineStr">
        <is>
          <t>Stock-based comp. (% of revenue)</t>
        </is>
      </c>
      <c r="B29" s="11" t="n">
        <v>0.045</v>
      </c>
      <c r="C29" s="11" t="n">
        <v>0.043</v>
      </c>
      <c r="D29" s="11" t="n">
        <v>0.04</v>
      </c>
      <c r="E29" s="11" t="n">
        <v>0.038</v>
      </c>
      <c r="F29" s="11" t="n">
        <v>0.035</v>
      </c>
      <c r="G29" s="14" t="inlineStr">
        <is>
          <t>[JUDGMENT]</t>
        </is>
      </c>
      <c r="H29" s="13" t="inlineStr">
        <is>
          <t>FY2025: 4.7% of revenue; declining with scale</t>
        </is>
      </c>
    </row>
    <row r="30">
      <c r="A30" s="3" t="inlineStr">
        <is>
          <t>Capex (% of revenue)</t>
        </is>
      </c>
      <c r="B30" s="11" t="n">
        <v>0.03</v>
      </c>
      <c r="G30" s="14" t="inlineStr">
        <is>
          <t>[JUDGMENT]</t>
        </is>
      </c>
      <c r="H30" s="13" t="inlineStr">
        <is>
          <t>FY2025: 2.8% of revenue (fabless; lab/test capex)</t>
        </is>
      </c>
    </row>
    <row r="31">
      <c r="A31" s="3" t="inlineStr">
        <is>
          <t>Change in NWC (% of revenue growth)</t>
        </is>
      </c>
      <c r="B31" s="11" t="n">
        <v>0.05</v>
      </c>
      <c r="G31" s="14" t="inlineStr">
        <is>
          <t>[JUDGMENT]</t>
        </is>
      </c>
      <c r="H31" s="13" t="inlineStr">
        <is>
          <t>Receivables/inventory scale with semi activity</t>
        </is>
      </c>
    </row>
    <row r="32">
      <c r="A32" s="3" t="inlineStr">
        <is>
          <t>Terminal growth — base</t>
        </is>
      </c>
      <c r="B32" s="11" t="n">
        <v>0.03</v>
      </c>
      <c r="G32" s="14" t="inlineStr">
        <is>
          <t>[JUDGMENT]</t>
        </is>
      </c>
      <c r="H32" s="13" t="inlineStr">
        <is>
          <t>Long-run nominal GDP</t>
        </is>
      </c>
    </row>
    <row r="33">
      <c r="A33" s="3" t="inlineStr">
        <is>
          <t>Terminal growth — bull</t>
        </is>
      </c>
      <c r="B33" s="11" t="n">
        <v>0.035</v>
      </c>
      <c r="G33" s="14" t="inlineStr">
        <is>
          <t>[JUDGMENT]</t>
        </is>
      </c>
      <c r="H33" s="13" t="inlineStr"/>
    </row>
    <row r="34">
      <c r="A34" s="3" t="inlineStr">
        <is>
          <t>Terminal growth — bear</t>
        </is>
      </c>
      <c r="B34" s="11" t="n">
        <v>0.02</v>
      </c>
      <c r="G34" s="14" t="inlineStr">
        <is>
          <t>[JUDGMENT]</t>
        </is>
      </c>
      <c r="H34" s="13" t="inlineStr"/>
    </row>
    <row r="35">
      <c r="A35" s="3" t="inlineStr">
        <is>
          <t>Net debt ($M)</t>
        </is>
      </c>
      <c r="B35" s="11" t="n">
        <v>-810</v>
      </c>
      <c r="G35" s="12" t="inlineStr">
        <is>
          <t>[DATA]</t>
        </is>
      </c>
      <c r="H35" s="13" t="inlineStr">
        <is>
          <t>Q2 2026 (2026-06-30): cash &amp; equivalents $5,086M less total debt $4,276M = net cash $810M</t>
        </is>
      </c>
    </row>
    <row r="36">
      <c r="A36" s="3" t="inlineStr">
        <is>
          <t>Diluted shares outstanding (M)</t>
        </is>
      </c>
      <c r="B36" s="18" t="n">
        <v>1632.5</v>
      </c>
      <c r="G36" s="12" t="inlineStr">
        <is>
          <t>[DATA]</t>
        </is>
      </c>
      <c r="H36" s="13" t="inlineStr">
        <is>
          <t>Yahoo Finance sharesOutstanding, Oct 2026 (FY2025 diluted weighted avg: 1,636M)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 ht="24" customHeight="1">
      <c r="A1" s="1" t="inlineStr">
        <is>
          <t>Historical financials — AMD</t>
        </is>
      </c>
    </row>
    <row r="2" ht="18" customHeight="1">
      <c r="A2" s="2" t="inlineStr">
        <is>
          <t>$ millions. Source: Yahoo Finance annual statements (filing-derived), as of 2026-10-19. FY2021 column blank in the Yahoo Finance pull — excluded.</t>
        </is>
      </c>
    </row>
    <row r="3">
      <c r="A3" s="20" t="inlineStr"/>
      <c r="B3" s="20" t="n">
        <v>2022</v>
      </c>
      <c r="C3" s="20" t="n">
        <v>2023</v>
      </c>
      <c r="D3" s="20" t="n">
        <v>2024</v>
      </c>
      <c r="E3" s="20" t="n">
        <v>2025</v>
      </c>
    </row>
    <row r="4">
      <c r="A4" s="3" t="inlineStr">
        <is>
          <t>Total revenue</t>
        </is>
      </c>
      <c r="B4" s="21" t="n">
        <v>23601</v>
      </c>
      <c r="C4" s="21" t="n">
        <v>22680</v>
      </c>
      <c r="D4" s="21" t="n">
        <v>25785</v>
      </c>
      <c r="E4" s="21" t="n">
        <v>34639</v>
      </c>
    </row>
    <row r="5">
      <c r="A5" s="3" t="inlineStr">
        <is>
          <t>Gross profit</t>
        </is>
      </c>
      <c r="B5" s="21" t="n">
        <v>10603</v>
      </c>
      <c r="C5" s="21" t="n">
        <v>10460</v>
      </c>
      <c r="D5" s="21" t="n">
        <v>12725</v>
      </c>
      <c r="E5" s="21" t="n">
        <v>17152</v>
      </c>
    </row>
    <row r="6">
      <c r="A6" s="3" t="inlineStr">
        <is>
          <t>EBITDA</t>
        </is>
      </c>
      <c r="B6" s="21" t="n">
        <v>5534</v>
      </c>
      <c r="C6" s="21" t="n">
        <v>4051</v>
      </c>
      <c r="D6" s="21" t="n">
        <v>5145</v>
      </c>
      <c r="E6" s="21" t="n">
        <v>7275</v>
      </c>
    </row>
    <row r="7">
      <c r="A7" s="3" t="inlineStr">
        <is>
          <t>EBITDA margin</t>
        </is>
      </c>
      <c r="B7" s="16">
        <f>B6/B4</f>
        <v/>
      </c>
      <c r="C7" s="16">
        <f>C6/C4</f>
        <v/>
      </c>
      <c r="D7" s="16">
        <f>D6/D4</f>
        <v/>
      </c>
      <c r="E7" s="16">
        <f>E6/E4</f>
        <v/>
      </c>
    </row>
    <row r="8">
      <c r="A8" s="3" t="inlineStr">
        <is>
          <t>Operating income</t>
        </is>
      </c>
      <c r="B8" s="21" t="n">
        <v>1264</v>
      </c>
      <c r="C8" s="21" t="n">
        <v>401</v>
      </c>
      <c r="D8" s="21" t="n">
        <v>2086</v>
      </c>
      <c r="E8" s="21" t="n">
        <v>3694</v>
      </c>
    </row>
    <row r="9">
      <c r="A9" s="3" t="inlineStr">
        <is>
          <t>Net income</t>
        </is>
      </c>
      <c r="B9" s="21" t="n">
        <v>1320</v>
      </c>
      <c r="C9" s="21" t="n">
        <v>854</v>
      </c>
      <c r="D9" s="21" t="n">
        <v>1641</v>
      </c>
      <c r="E9" s="21" t="n">
        <v>4335</v>
      </c>
    </row>
    <row r="10">
      <c r="A10" s="3" t="inlineStr">
        <is>
          <t>Diluted average shares (M)</t>
        </is>
      </c>
      <c r="B10" s="21" t="n">
        <v>1571</v>
      </c>
      <c r="C10" s="21" t="n">
        <v>1625</v>
      </c>
      <c r="D10" s="21" t="n">
        <v>1637</v>
      </c>
      <c r="E10" s="21" t="n">
        <v>1636</v>
      </c>
    </row>
    <row r="11">
      <c r="A11" s="3" t="inlineStr">
        <is>
          <t>Operating cash flow</t>
        </is>
      </c>
      <c r="B11" s="21" t="n">
        <v>3565</v>
      </c>
      <c r="C11" s="21" t="n">
        <v>1667</v>
      </c>
      <c r="D11" s="21" t="n">
        <v>3041</v>
      </c>
      <c r="E11" s="21" t="n">
        <v>7709</v>
      </c>
    </row>
    <row r="12">
      <c r="A12" s="3" t="inlineStr">
        <is>
          <t>Capital expenditures</t>
        </is>
      </c>
      <c r="B12" s="21" t="n">
        <v>-450</v>
      </c>
      <c r="C12" s="21" t="n">
        <v>-546</v>
      </c>
      <c r="D12" s="21" t="n">
        <v>-636</v>
      </c>
      <c r="E12" s="21" t="n">
        <v>-974</v>
      </c>
    </row>
    <row r="13">
      <c r="A13" s="3" t="inlineStr">
        <is>
          <t>Free cash flow</t>
        </is>
      </c>
      <c r="B13" s="21" t="n">
        <v>3115</v>
      </c>
      <c r="C13" s="21" t="n">
        <v>1121</v>
      </c>
      <c r="D13" s="21" t="n">
        <v>2405</v>
      </c>
      <c r="E13" s="21" t="n">
        <v>6735</v>
      </c>
    </row>
    <row r="14">
      <c r="A14" s="3" t="inlineStr">
        <is>
          <t>Cash &amp; equivalents</t>
        </is>
      </c>
      <c r="B14" s="21" t="n">
        <v>4835</v>
      </c>
      <c r="C14" s="21" t="n">
        <v>3933</v>
      </c>
      <c r="D14" s="21" t="n">
        <v>3787</v>
      </c>
      <c r="E14" s="21" t="n">
        <v>5539</v>
      </c>
    </row>
    <row r="15">
      <c r="A15" s="3" t="inlineStr">
        <is>
          <t>Total debt</t>
        </is>
      </c>
      <c r="B15" s="21" t="n">
        <v>2863</v>
      </c>
      <c r="C15" s="21" t="n">
        <v>3003</v>
      </c>
      <c r="D15" s="21" t="n">
        <v>2212</v>
      </c>
      <c r="E15" s="21" t="n">
        <v>3847</v>
      </c>
    </row>
    <row r="16">
      <c r="A16" s="3" t="inlineStr">
        <is>
          <t>Revenue growth</t>
        </is>
      </c>
      <c r="B16" s="16" t="n"/>
      <c r="C16" s="16">
        <f>C4/B4-1</f>
        <v/>
      </c>
      <c r="D16" s="16">
        <f>D4/C4-1</f>
        <v/>
      </c>
      <c r="E16" s="16">
        <f>E4/D4-1</f>
        <v/>
      </c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6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24" customHeight="1">
      <c r="A1" s="1" t="inlineStr">
        <is>
          <t>Advanced Micro Devices, Inc. (AMD) — Discounted cash flow — base case</t>
        </is>
      </c>
    </row>
    <row r="2" ht="18" customHeight="1">
      <c r="A2" s="2" t="inlineStr">
        <is>
          <t>$ millions, except per-share. All formulas reference Assumptions / Historicals.</t>
        </is>
      </c>
    </row>
    <row r="3">
      <c r="A3" s="20" t="inlineStr"/>
      <c r="B3" s="20" t="n">
        <v>2026</v>
      </c>
      <c r="C3" s="20" t="n">
        <v>2027</v>
      </c>
      <c r="D3" s="20" t="n">
        <v>2028</v>
      </c>
      <c r="E3" s="20" t="n">
        <v>2029</v>
      </c>
      <c r="F3" s="20" t="n">
        <v>2030</v>
      </c>
    </row>
    <row r="4">
      <c r="A4" s="3" t="inlineStr">
        <is>
          <t>Revenue</t>
        </is>
      </c>
      <c r="B4" s="21">
        <f>Historicals!$E$4*(1+Assumptions!B$21)</f>
        <v/>
      </c>
      <c r="C4" s="21">
        <f>B4*(1+Assumptions!C$21)</f>
        <v/>
      </c>
      <c r="D4" s="21">
        <f>C4*(1+Assumptions!D$21)</f>
        <v/>
      </c>
      <c r="E4" s="21">
        <f>D4*(1+Assumptions!E$21)</f>
        <v/>
      </c>
      <c r="F4" s="21">
        <f>E4*(1+Assumptions!F$21)</f>
        <v/>
      </c>
    </row>
    <row r="5">
      <c r="A5" s="3" t="inlineStr">
        <is>
          <t>Revenue growth</t>
        </is>
      </c>
      <c r="B5" s="16">
        <f>B4/Historicals!$E$4-1</f>
        <v/>
      </c>
      <c r="C5" s="16">
        <f>C4/B4-1</f>
        <v/>
      </c>
      <c r="D5" s="16">
        <f>D4/C4-1</f>
        <v/>
      </c>
      <c r="E5" s="16">
        <f>E4/D4-1</f>
        <v/>
      </c>
      <c r="F5" s="16">
        <f>F4/E4-1</f>
        <v/>
      </c>
    </row>
    <row r="6">
      <c r="A6" s="3" t="inlineStr">
        <is>
          <t>EBITDA margin</t>
        </is>
      </c>
      <c r="B6" s="16">
        <f>Assumptions!B$24</f>
        <v/>
      </c>
      <c r="C6" s="16">
        <f>Assumptions!C$24</f>
        <v/>
      </c>
      <c r="D6" s="16">
        <f>Assumptions!D$24</f>
        <v/>
      </c>
      <c r="E6" s="16">
        <f>Assumptions!E$24</f>
        <v/>
      </c>
      <c r="F6" s="16">
        <f>Assumptions!F$24</f>
        <v/>
      </c>
    </row>
    <row r="7">
      <c r="A7" s="3" t="inlineStr">
        <is>
          <t>EBITDA</t>
        </is>
      </c>
      <c r="B7" s="21">
        <f>B4*B6</f>
        <v/>
      </c>
      <c r="C7" s="21">
        <f>C4*C6</f>
        <v/>
      </c>
      <c r="D7" s="21">
        <f>D4*D6</f>
        <v/>
      </c>
      <c r="E7" s="21">
        <f>E4*E6</f>
        <v/>
      </c>
      <c r="F7" s="21">
        <f>F4*F6</f>
        <v/>
      </c>
    </row>
    <row r="8">
      <c r="A8" s="3" t="inlineStr">
        <is>
          <t>Less: Depreciation &amp; amortization</t>
        </is>
      </c>
      <c r="B8" s="21">
        <f>B4*Assumptions!$B$28</f>
        <v/>
      </c>
      <c r="C8" s="21">
        <f>C4*Assumptions!$B$28</f>
        <v/>
      </c>
      <c r="D8" s="21">
        <f>D4*Assumptions!$B$28</f>
        <v/>
      </c>
      <c r="E8" s="21">
        <f>E4*Assumptions!$B$28</f>
        <v/>
      </c>
      <c r="F8" s="21">
        <f>F4*Assumptions!$B$28</f>
        <v/>
      </c>
    </row>
    <row r="9">
      <c r="A9" s="3" t="inlineStr">
        <is>
          <t>EBIT</t>
        </is>
      </c>
      <c r="B9" s="21">
        <f>B7-B8</f>
        <v/>
      </c>
      <c r="C9" s="21">
        <f>C7-C8</f>
        <v/>
      </c>
      <c r="D9" s="21">
        <f>D7-D8</f>
        <v/>
      </c>
      <c r="E9" s="21">
        <f>E7-E8</f>
        <v/>
      </c>
      <c r="F9" s="21">
        <f>F7-F8</f>
        <v/>
      </c>
    </row>
    <row r="10">
      <c r="A10" s="3" t="inlineStr">
        <is>
          <t>Tax rate</t>
        </is>
      </c>
      <c r="B10" s="16">
        <f>Assumptions!$B$9</f>
        <v/>
      </c>
      <c r="C10" s="16">
        <f>Assumptions!$B$9</f>
        <v/>
      </c>
      <c r="D10" s="16">
        <f>Assumptions!$B$9</f>
        <v/>
      </c>
      <c r="E10" s="16">
        <f>Assumptions!$B$9</f>
        <v/>
      </c>
      <c r="F10" s="16">
        <f>Assumptions!$B$9</f>
        <v/>
      </c>
    </row>
    <row r="11">
      <c r="A11" s="3" t="inlineStr">
        <is>
          <t>Less: Income tax</t>
        </is>
      </c>
      <c r="B11" s="21">
        <f>B9*B10</f>
        <v/>
      </c>
      <c r="C11" s="21">
        <f>C9*C10</f>
        <v/>
      </c>
      <c r="D11" s="21">
        <f>D9*D10</f>
        <v/>
      </c>
      <c r="E11" s="21">
        <f>E9*E10</f>
        <v/>
      </c>
      <c r="F11" s="21">
        <f>F9*F10</f>
        <v/>
      </c>
    </row>
    <row r="12">
      <c r="A12" s="3" t="inlineStr">
        <is>
          <t>NOPAT</t>
        </is>
      </c>
      <c r="B12" s="21">
        <f>B9-B11</f>
        <v/>
      </c>
      <c r="C12" s="21">
        <f>C9-C11</f>
        <v/>
      </c>
      <c r="D12" s="21">
        <f>D9-D11</f>
        <v/>
      </c>
      <c r="E12" s="21">
        <f>E9-E11</f>
        <v/>
      </c>
      <c r="F12" s="21">
        <f>F9-F11</f>
        <v/>
      </c>
    </row>
    <row r="13">
      <c r="A13" s="3" t="inlineStr">
        <is>
          <t>Add: Stock-based compensation</t>
        </is>
      </c>
      <c r="B13" s="21">
        <f>B4*Assumptions!B$29</f>
        <v/>
      </c>
      <c r="C13" s="21">
        <f>C4*Assumptions!C$29</f>
        <v/>
      </c>
      <c r="D13" s="21">
        <f>D4*Assumptions!D$29</f>
        <v/>
      </c>
      <c r="E13" s="21">
        <f>E4*Assumptions!E$29</f>
        <v/>
      </c>
      <c r="F13" s="21">
        <f>F4*Assumptions!F$29</f>
        <v/>
      </c>
    </row>
    <row r="14">
      <c r="A14" s="3" t="inlineStr">
        <is>
          <t>Less: Capital expenditures</t>
        </is>
      </c>
      <c r="B14" s="21">
        <f>B4*Assumptions!$B$30</f>
        <v/>
      </c>
      <c r="C14" s="21">
        <f>C4*Assumptions!$B$30</f>
        <v/>
      </c>
      <c r="D14" s="21">
        <f>D4*Assumptions!$B$30</f>
        <v/>
      </c>
      <c r="E14" s="21">
        <f>E4*Assumptions!$B$30</f>
        <v/>
      </c>
      <c r="F14" s="21">
        <f>F4*Assumptions!$B$30</f>
        <v/>
      </c>
    </row>
    <row r="15">
      <c r="A15" s="3" t="inlineStr">
        <is>
          <t>Less: Change in net working capital</t>
        </is>
      </c>
      <c r="B15" s="21">
        <f>(B4-Historicals!$E$4)*Assumptions!$B$31</f>
        <v/>
      </c>
      <c r="C15" s="21">
        <f>(C4-B4)*Assumptions!$B$31</f>
        <v/>
      </c>
      <c r="D15" s="21">
        <f>(D4-C4)*Assumptions!$B$31</f>
        <v/>
      </c>
      <c r="E15" s="21">
        <f>(E4-D4)*Assumptions!$B$31</f>
        <v/>
      </c>
      <c r="F15" s="21">
        <f>(F4-E4)*Assumptions!$B$31</f>
        <v/>
      </c>
    </row>
    <row r="16">
      <c r="A16" s="3" t="inlineStr">
        <is>
          <t>Unlevered free cash flow</t>
        </is>
      </c>
      <c r="B16" s="21">
        <f>B12+B8+B13-B14-B15</f>
        <v/>
      </c>
      <c r="C16" s="21">
        <f>C12+C8+C13-C14-C15</f>
        <v/>
      </c>
      <c r="D16" s="21">
        <f>D12+D8+D13-D14-D15</f>
        <v/>
      </c>
      <c r="E16" s="21">
        <f>E12+E8+E13-E14-E15</f>
        <v/>
      </c>
      <c r="F16" s="21">
        <f>F12+F8+F13-F14-F15</f>
        <v/>
      </c>
    </row>
    <row r="17">
      <c r="A17" s="3" t="inlineStr">
        <is>
          <t>Discount factor</t>
        </is>
      </c>
      <c r="B17" s="22">
        <f>1/(1+Assumptions!$B$15)^1</f>
        <v/>
      </c>
      <c r="C17" s="22">
        <f>1/(1+Assumptions!$B$15)^2</f>
        <v/>
      </c>
      <c r="D17" s="22">
        <f>1/(1+Assumptions!$B$15)^3</f>
        <v/>
      </c>
      <c r="E17" s="22">
        <f>1/(1+Assumptions!$B$15)^4</f>
        <v/>
      </c>
      <c r="F17" s="22">
        <f>1/(1+Assumptions!$B$15)^5</f>
        <v/>
      </c>
    </row>
    <row r="18">
      <c r="A18" s="3" t="inlineStr">
        <is>
          <t>Present value of FCF</t>
        </is>
      </c>
      <c r="B18" s="21">
        <f>B16*B17</f>
        <v/>
      </c>
      <c r="C18" s="21">
        <f>C16*C17</f>
        <v/>
      </c>
      <c r="D18" s="21">
        <f>D16*D17</f>
        <v/>
      </c>
      <c r="E18" s="21">
        <f>E16*E17</f>
        <v/>
      </c>
      <c r="F18" s="21">
        <f>F16*F17</f>
        <v/>
      </c>
    </row>
    <row r="19">
      <c r="A19" s="7" t="inlineStr">
        <is>
          <t>Sum of PV of FCF</t>
        </is>
      </c>
      <c r="B19" s="21">
        <f>SUM(B18:F18)</f>
        <v/>
      </c>
    </row>
    <row r="20">
      <c r="A20" s="3" t="inlineStr">
        <is>
          <t>Terminal value</t>
        </is>
      </c>
      <c r="B20" s="21">
        <f>F16*(1+Assumptions!$B$32)/(Assumptions!$B$15-Assumptions!$B$32)</f>
        <v/>
      </c>
    </row>
    <row r="21">
      <c r="A21" s="3" t="inlineStr">
        <is>
          <t>PV of terminal value</t>
        </is>
      </c>
      <c r="B21" s="21">
        <f>B20/(1+Assumptions!$B$15)^5</f>
        <v/>
      </c>
    </row>
    <row r="22">
      <c r="A22" s="7" t="inlineStr">
        <is>
          <t>Enterprise value</t>
        </is>
      </c>
      <c r="B22" s="21">
        <f>B19+B21</f>
        <v/>
      </c>
    </row>
    <row r="23">
      <c r="A23" s="3" t="inlineStr">
        <is>
          <t>Less: Net debt</t>
        </is>
      </c>
      <c r="B23" s="21">
        <f>Assumptions!$B$35</f>
        <v/>
      </c>
    </row>
    <row r="24">
      <c r="A24" s="7" t="inlineStr">
        <is>
          <t>Equity value</t>
        </is>
      </c>
      <c r="B24" s="21">
        <f>B22-B23</f>
        <v/>
      </c>
    </row>
    <row r="25">
      <c r="A25" s="3" t="inlineStr">
        <is>
          <t>Diluted shares outstanding (M)</t>
        </is>
      </c>
      <c r="B25" s="21">
        <f>Assumptions!$B$36</f>
        <v/>
      </c>
    </row>
    <row r="26">
      <c r="A26" s="10" t="inlineStr">
        <is>
          <t>Implied value per share ($)</t>
        </is>
      </c>
      <c r="B26" s="23">
        <f>B24/B25</f>
        <v/>
      </c>
    </row>
  </sheetData>
  <mergeCells count="2">
    <mergeCell ref="A2:F2"/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6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24" customHeight="1">
      <c r="A1" s="1" t="inlineStr">
        <is>
          <t>Advanced Micro Devices, Inc. (AMD) — Discounted cash flow — bull case</t>
        </is>
      </c>
    </row>
    <row r="2" ht="18" customHeight="1">
      <c r="A2" s="2" t="inlineStr">
        <is>
          <t>$ millions, except per-share. All formulas reference Assumptions / Historicals.</t>
        </is>
      </c>
    </row>
    <row r="3">
      <c r="A3" s="20" t="inlineStr"/>
      <c r="B3" s="20" t="n">
        <v>2026</v>
      </c>
      <c r="C3" s="20" t="n">
        <v>2027</v>
      </c>
      <c r="D3" s="20" t="n">
        <v>2028</v>
      </c>
      <c r="E3" s="20" t="n">
        <v>2029</v>
      </c>
      <c r="F3" s="20" t="n">
        <v>2030</v>
      </c>
    </row>
    <row r="4">
      <c r="A4" s="3" t="inlineStr">
        <is>
          <t>Revenue</t>
        </is>
      </c>
      <c r="B4" s="21">
        <f>Historicals!$E$4*(1+Assumptions!B$22)</f>
        <v/>
      </c>
      <c r="C4" s="21">
        <f>B4*(1+Assumptions!C$22)</f>
        <v/>
      </c>
      <c r="D4" s="21">
        <f>C4*(1+Assumptions!D$22)</f>
        <v/>
      </c>
      <c r="E4" s="21">
        <f>D4*(1+Assumptions!E$22)</f>
        <v/>
      </c>
      <c r="F4" s="21">
        <f>E4*(1+Assumptions!F$22)</f>
        <v/>
      </c>
    </row>
    <row r="5">
      <c r="A5" s="3" t="inlineStr">
        <is>
          <t>Revenue growth</t>
        </is>
      </c>
      <c r="B5" s="16">
        <f>B4/Historicals!$E$4-1</f>
        <v/>
      </c>
      <c r="C5" s="16">
        <f>C4/B4-1</f>
        <v/>
      </c>
      <c r="D5" s="16">
        <f>D4/C4-1</f>
        <v/>
      </c>
      <c r="E5" s="16">
        <f>E4/D4-1</f>
        <v/>
      </c>
      <c r="F5" s="16">
        <f>F4/E4-1</f>
        <v/>
      </c>
    </row>
    <row r="6">
      <c r="A6" s="3" t="inlineStr">
        <is>
          <t>EBITDA margin</t>
        </is>
      </c>
      <c r="B6" s="16">
        <f>Assumptions!B$25</f>
        <v/>
      </c>
      <c r="C6" s="16">
        <f>Assumptions!C$25</f>
        <v/>
      </c>
      <c r="D6" s="16">
        <f>Assumptions!D$25</f>
        <v/>
      </c>
      <c r="E6" s="16">
        <f>Assumptions!E$25</f>
        <v/>
      </c>
      <c r="F6" s="16">
        <f>Assumptions!F$25</f>
        <v/>
      </c>
    </row>
    <row r="7">
      <c r="A7" s="3" t="inlineStr">
        <is>
          <t>EBITDA</t>
        </is>
      </c>
      <c r="B7" s="21">
        <f>B4*B6</f>
        <v/>
      </c>
      <c r="C7" s="21">
        <f>C4*C6</f>
        <v/>
      </c>
      <c r="D7" s="21">
        <f>D4*D6</f>
        <v/>
      </c>
      <c r="E7" s="21">
        <f>E4*E6</f>
        <v/>
      </c>
      <c r="F7" s="21">
        <f>F4*F6</f>
        <v/>
      </c>
    </row>
    <row r="8">
      <c r="A8" s="3" t="inlineStr">
        <is>
          <t>Less: Depreciation &amp; amortization</t>
        </is>
      </c>
      <c r="B8" s="21">
        <f>B4*Assumptions!$B$28</f>
        <v/>
      </c>
      <c r="C8" s="21">
        <f>C4*Assumptions!$B$28</f>
        <v/>
      </c>
      <c r="D8" s="21">
        <f>D4*Assumptions!$B$28</f>
        <v/>
      </c>
      <c r="E8" s="21">
        <f>E4*Assumptions!$B$28</f>
        <v/>
      </c>
      <c r="F8" s="21">
        <f>F4*Assumptions!$B$28</f>
        <v/>
      </c>
    </row>
    <row r="9">
      <c r="A9" s="3" t="inlineStr">
        <is>
          <t>EBIT</t>
        </is>
      </c>
      <c r="B9" s="21">
        <f>B7-B8</f>
        <v/>
      </c>
      <c r="C9" s="21">
        <f>C7-C8</f>
        <v/>
      </c>
      <c r="D9" s="21">
        <f>D7-D8</f>
        <v/>
      </c>
      <c r="E9" s="21">
        <f>E7-E8</f>
        <v/>
      </c>
      <c r="F9" s="21">
        <f>F7-F8</f>
        <v/>
      </c>
    </row>
    <row r="10">
      <c r="A10" s="3" t="inlineStr">
        <is>
          <t>Tax rate</t>
        </is>
      </c>
      <c r="B10" s="16">
        <f>Assumptions!$B$9</f>
        <v/>
      </c>
      <c r="C10" s="16">
        <f>Assumptions!$B$9</f>
        <v/>
      </c>
      <c r="D10" s="16">
        <f>Assumptions!$B$9</f>
        <v/>
      </c>
      <c r="E10" s="16">
        <f>Assumptions!$B$9</f>
        <v/>
      </c>
      <c r="F10" s="16">
        <f>Assumptions!$B$9</f>
        <v/>
      </c>
    </row>
    <row r="11">
      <c r="A11" s="3" t="inlineStr">
        <is>
          <t>Less: Income tax</t>
        </is>
      </c>
      <c r="B11" s="21">
        <f>B9*B10</f>
        <v/>
      </c>
      <c r="C11" s="21">
        <f>C9*C10</f>
        <v/>
      </c>
      <c r="D11" s="21">
        <f>D9*D10</f>
        <v/>
      </c>
      <c r="E11" s="21">
        <f>E9*E10</f>
        <v/>
      </c>
      <c r="F11" s="21">
        <f>F9*F10</f>
        <v/>
      </c>
    </row>
    <row r="12">
      <c r="A12" s="3" t="inlineStr">
        <is>
          <t>NOPAT</t>
        </is>
      </c>
      <c r="B12" s="21">
        <f>B9-B11</f>
        <v/>
      </c>
      <c r="C12" s="21">
        <f>C9-C11</f>
        <v/>
      </c>
      <c r="D12" s="21">
        <f>D9-D11</f>
        <v/>
      </c>
      <c r="E12" s="21">
        <f>E9-E11</f>
        <v/>
      </c>
      <c r="F12" s="21">
        <f>F9-F11</f>
        <v/>
      </c>
    </row>
    <row r="13">
      <c r="A13" s="3" t="inlineStr">
        <is>
          <t>Add: Stock-based compensation</t>
        </is>
      </c>
      <c r="B13" s="21">
        <f>B4*Assumptions!B$29</f>
        <v/>
      </c>
      <c r="C13" s="21">
        <f>C4*Assumptions!C$29</f>
        <v/>
      </c>
      <c r="D13" s="21">
        <f>D4*Assumptions!D$29</f>
        <v/>
      </c>
      <c r="E13" s="21">
        <f>E4*Assumptions!E$29</f>
        <v/>
      </c>
      <c r="F13" s="21">
        <f>F4*Assumptions!F$29</f>
        <v/>
      </c>
    </row>
    <row r="14">
      <c r="A14" s="3" t="inlineStr">
        <is>
          <t>Less: Capital expenditures</t>
        </is>
      </c>
      <c r="B14" s="21">
        <f>B4*Assumptions!$B$30</f>
        <v/>
      </c>
      <c r="C14" s="21">
        <f>C4*Assumptions!$B$30</f>
        <v/>
      </c>
      <c r="D14" s="21">
        <f>D4*Assumptions!$B$30</f>
        <v/>
      </c>
      <c r="E14" s="21">
        <f>E4*Assumptions!$B$30</f>
        <v/>
      </c>
      <c r="F14" s="21">
        <f>F4*Assumptions!$B$30</f>
        <v/>
      </c>
    </row>
    <row r="15">
      <c r="A15" s="3" t="inlineStr">
        <is>
          <t>Less: Change in net working capital</t>
        </is>
      </c>
      <c r="B15" s="21">
        <f>(B4-Historicals!$E$4)*Assumptions!$B$31</f>
        <v/>
      </c>
      <c r="C15" s="21">
        <f>(C4-B4)*Assumptions!$B$31</f>
        <v/>
      </c>
      <c r="D15" s="21">
        <f>(D4-C4)*Assumptions!$B$31</f>
        <v/>
      </c>
      <c r="E15" s="21">
        <f>(E4-D4)*Assumptions!$B$31</f>
        <v/>
      </c>
      <c r="F15" s="21">
        <f>(F4-E4)*Assumptions!$B$31</f>
        <v/>
      </c>
    </row>
    <row r="16">
      <c r="A16" s="3" t="inlineStr">
        <is>
          <t>Unlevered free cash flow</t>
        </is>
      </c>
      <c r="B16" s="21">
        <f>B12+B8+B13-B14-B15</f>
        <v/>
      </c>
      <c r="C16" s="21">
        <f>C12+C8+C13-C14-C15</f>
        <v/>
      </c>
      <c r="D16" s="21">
        <f>D12+D8+D13-D14-D15</f>
        <v/>
      </c>
      <c r="E16" s="21">
        <f>E12+E8+E13-E14-E15</f>
        <v/>
      </c>
      <c r="F16" s="21">
        <f>F12+F8+F13-F14-F15</f>
        <v/>
      </c>
    </row>
    <row r="17">
      <c r="A17" s="3" t="inlineStr">
        <is>
          <t>Discount factor</t>
        </is>
      </c>
      <c r="B17" s="22">
        <f>1/(1+Assumptions!$B$16)^1</f>
        <v/>
      </c>
      <c r="C17" s="22">
        <f>1/(1+Assumptions!$B$16)^2</f>
        <v/>
      </c>
      <c r="D17" s="22">
        <f>1/(1+Assumptions!$B$16)^3</f>
        <v/>
      </c>
      <c r="E17" s="22">
        <f>1/(1+Assumptions!$B$16)^4</f>
        <v/>
      </c>
      <c r="F17" s="22">
        <f>1/(1+Assumptions!$B$16)^5</f>
        <v/>
      </c>
    </row>
    <row r="18">
      <c r="A18" s="3" t="inlineStr">
        <is>
          <t>Present value of FCF</t>
        </is>
      </c>
      <c r="B18" s="21">
        <f>B16*B17</f>
        <v/>
      </c>
      <c r="C18" s="21">
        <f>C16*C17</f>
        <v/>
      </c>
      <c r="D18" s="21">
        <f>D16*D17</f>
        <v/>
      </c>
      <c r="E18" s="21">
        <f>E16*E17</f>
        <v/>
      </c>
      <c r="F18" s="21">
        <f>F16*F17</f>
        <v/>
      </c>
    </row>
    <row r="19">
      <c r="A19" s="7" t="inlineStr">
        <is>
          <t>Sum of PV of FCF</t>
        </is>
      </c>
      <c r="B19" s="21">
        <f>SUM(B18:F18)</f>
        <v/>
      </c>
    </row>
    <row r="20">
      <c r="A20" s="3" t="inlineStr">
        <is>
          <t>Terminal value</t>
        </is>
      </c>
      <c r="B20" s="21">
        <f>F16*(1+Assumptions!$B$33)/(Assumptions!$B$16-Assumptions!$B$33)</f>
        <v/>
      </c>
    </row>
    <row r="21">
      <c r="A21" s="3" t="inlineStr">
        <is>
          <t>PV of terminal value</t>
        </is>
      </c>
      <c r="B21" s="21">
        <f>B20/(1+Assumptions!$B$16)^5</f>
        <v/>
      </c>
    </row>
    <row r="22">
      <c r="A22" s="7" t="inlineStr">
        <is>
          <t>Enterprise value</t>
        </is>
      </c>
      <c r="B22" s="21">
        <f>B19+B21</f>
        <v/>
      </c>
    </row>
    <row r="23">
      <c r="A23" s="3" t="inlineStr">
        <is>
          <t>Less: Net debt</t>
        </is>
      </c>
      <c r="B23" s="21">
        <f>Assumptions!$B$35</f>
        <v/>
      </c>
    </row>
    <row r="24">
      <c r="A24" s="7" t="inlineStr">
        <is>
          <t>Equity value</t>
        </is>
      </c>
      <c r="B24" s="21">
        <f>B22-B23</f>
        <v/>
      </c>
    </row>
    <row r="25">
      <c r="A25" s="3" t="inlineStr">
        <is>
          <t>Diluted shares outstanding (M)</t>
        </is>
      </c>
      <c r="B25" s="21">
        <f>Assumptions!$B$36</f>
        <v/>
      </c>
    </row>
    <row r="26">
      <c r="A26" s="10" t="inlineStr">
        <is>
          <t>Implied value per share ($)</t>
        </is>
      </c>
      <c r="B26" s="23">
        <f>B24/B25</f>
        <v/>
      </c>
    </row>
  </sheetData>
  <mergeCells count="2">
    <mergeCell ref="A2:F2"/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6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24" customHeight="1">
      <c r="A1" s="1" t="inlineStr">
        <is>
          <t>Advanced Micro Devices, Inc. (AMD) — Discounted cash flow — bear case</t>
        </is>
      </c>
    </row>
    <row r="2" ht="18" customHeight="1">
      <c r="A2" s="2" t="inlineStr">
        <is>
          <t>$ millions, except per-share. All formulas reference Assumptions / Historicals.</t>
        </is>
      </c>
    </row>
    <row r="3">
      <c r="A3" s="20" t="inlineStr"/>
      <c r="B3" s="20" t="n">
        <v>2026</v>
      </c>
      <c r="C3" s="20" t="n">
        <v>2027</v>
      </c>
      <c r="D3" s="20" t="n">
        <v>2028</v>
      </c>
      <c r="E3" s="20" t="n">
        <v>2029</v>
      </c>
      <c r="F3" s="20" t="n">
        <v>2030</v>
      </c>
    </row>
    <row r="4">
      <c r="A4" s="3" t="inlineStr">
        <is>
          <t>Revenue</t>
        </is>
      </c>
      <c r="B4" s="21">
        <f>Historicals!$E$4*(1+Assumptions!B$23)</f>
        <v/>
      </c>
      <c r="C4" s="21">
        <f>B4*(1+Assumptions!C$23)</f>
        <v/>
      </c>
      <c r="D4" s="21">
        <f>C4*(1+Assumptions!D$23)</f>
        <v/>
      </c>
      <c r="E4" s="21">
        <f>D4*(1+Assumptions!E$23)</f>
        <v/>
      </c>
      <c r="F4" s="21">
        <f>E4*(1+Assumptions!F$23)</f>
        <v/>
      </c>
    </row>
    <row r="5">
      <c r="A5" s="3" t="inlineStr">
        <is>
          <t>Revenue growth</t>
        </is>
      </c>
      <c r="B5" s="16">
        <f>B4/Historicals!$E$4-1</f>
        <v/>
      </c>
      <c r="C5" s="16">
        <f>C4/B4-1</f>
        <v/>
      </c>
      <c r="D5" s="16">
        <f>D4/C4-1</f>
        <v/>
      </c>
      <c r="E5" s="16">
        <f>E4/D4-1</f>
        <v/>
      </c>
      <c r="F5" s="16">
        <f>F4/E4-1</f>
        <v/>
      </c>
    </row>
    <row r="6">
      <c r="A6" s="3" t="inlineStr">
        <is>
          <t>EBITDA margin</t>
        </is>
      </c>
      <c r="B6" s="16">
        <f>Assumptions!B$26</f>
        <v/>
      </c>
      <c r="C6" s="16">
        <f>Assumptions!C$26</f>
        <v/>
      </c>
      <c r="D6" s="16">
        <f>Assumptions!D$26</f>
        <v/>
      </c>
      <c r="E6" s="16">
        <f>Assumptions!E$26</f>
        <v/>
      </c>
      <c r="F6" s="16">
        <f>Assumptions!F$26</f>
        <v/>
      </c>
    </row>
    <row r="7">
      <c r="A7" s="3" t="inlineStr">
        <is>
          <t>EBITDA</t>
        </is>
      </c>
      <c r="B7" s="21">
        <f>B4*B6</f>
        <v/>
      </c>
      <c r="C7" s="21">
        <f>C4*C6</f>
        <v/>
      </c>
      <c r="D7" s="21">
        <f>D4*D6</f>
        <v/>
      </c>
      <c r="E7" s="21">
        <f>E4*E6</f>
        <v/>
      </c>
      <c r="F7" s="21">
        <f>F4*F6</f>
        <v/>
      </c>
    </row>
    <row r="8">
      <c r="A8" s="3" t="inlineStr">
        <is>
          <t>Less: Depreciation &amp; amortization</t>
        </is>
      </c>
      <c r="B8" s="21">
        <f>B4*Assumptions!$B$28</f>
        <v/>
      </c>
      <c r="C8" s="21">
        <f>C4*Assumptions!$B$28</f>
        <v/>
      </c>
      <c r="D8" s="21">
        <f>D4*Assumptions!$B$28</f>
        <v/>
      </c>
      <c r="E8" s="21">
        <f>E4*Assumptions!$B$28</f>
        <v/>
      </c>
      <c r="F8" s="21">
        <f>F4*Assumptions!$B$28</f>
        <v/>
      </c>
    </row>
    <row r="9">
      <c r="A9" s="3" t="inlineStr">
        <is>
          <t>EBIT</t>
        </is>
      </c>
      <c r="B9" s="21">
        <f>B7-B8</f>
        <v/>
      </c>
      <c r="C9" s="21">
        <f>C7-C8</f>
        <v/>
      </c>
      <c r="D9" s="21">
        <f>D7-D8</f>
        <v/>
      </c>
      <c r="E9" s="21">
        <f>E7-E8</f>
        <v/>
      </c>
      <c r="F9" s="21">
        <f>F7-F8</f>
        <v/>
      </c>
    </row>
    <row r="10">
      <c r="A10" s="3" t="inlineStr">
        <is>
          <t>Tax rate</t>
        </is>
      </c>
      <c r="B10" s="16">
        <f>Assumptions!$B$9</f>
        <v/>
      </c>
      <c r="C10" s="16">
        <f>Assumptions!$B$9</f>
        <v/>
      </c>
      <c r="D10" s="16">
        <f>Assumptions!$B$9</f>
        <v/>
      </c>
      <c r="E10" s="16">
        <f>Assumptions!$B$9</f>
        <v/>
      </c>
      <c r="F10" s="16">
        <f>Assumptions!$B$9</f>
        <v/>
      </c>
    </row>
    <row r="11">
      <c r="A11" s="3" t="inlineStr">
        <is>
          <t>Less: Income tax</t>
        </is>
      </c>
      <c r="B11" s="21">
        <f>B9*B10</f>
        <v/>
      </c>
      <c r="C11" s="21">
        <f>C9*C10</f>
        <v/>
      </c>
      <c r="D11" s="21">
        <f>D9*D10</f>
        <v/>
      </c>
      <c r="E11" s="21">
        <f>E9*E10</f>
        <v/>
      </c>
      <c r="F11" s="21">
        <f>F9*F10</f>
        <v/>
      </c>
    </row>
    <row r="12">
      <c r="A12" s="3" t="inlineStr">
        <is>
          <t>NOPAT</t>
        </is>
      </c>
      <c r="B12" s="21">
        <f>B9-B11</f>
        <v/>
      </c>
      <c r="C12" s="21">
        <f>C9-C11</f>
        <v/>
      </c>
      <c r="D12" s="21">
        <f>D9-D11</f>
        <v/>
      </c>
      <c r="E12" s="21">
        <f>E9-E11</f>
        <v/>
      </c>
      <c r="F12" s="21">
        <f>F9-F11</f>
        <v/>
      </c>
    </row>
    <row r="13">
      <c r="A13" s="3" t="inlineStr">
        <is>
          <t>Add: Stock-based compensation</t>
        </is>
      </c>
      <c r="B13" s="21">
        <f>B4*Assumptions!B$29</f>
        <v/>
      </c>
      <c r="C13" s="21">
        <f>C4*Assumptions!C$29</f>
        <v/>
      </c>
      <c r="D13" s="21">
        <f>D4*Assumptions!D$29</f>
        <v/>
      </c>
      <c r="E13" s="21">
        <f>E4*Assumptions!E$29</f>
        <v/>
      </c>
      <c r="F13" s="21">
        <f>F4*Assumptions!F$29</f>
        <v/>
      </c>
    </row>
    <row r="14">
      <c r="A14" s="3" t="inlineStr">
        <is>
          <t>Less: Capital expenditures</t>
        </is>
      </c>
      <c r="B14" s="21">
        <f>B4*Assumptions!$B$30</f>
        <v/>
      </c>
      <c r="C14" s="21">
        <f>C4*Assumptions!$B$30</f>
        <v/>
      </c>
      <c r="D14" s="21">
        <f>D4*Assumptions!$B$30</f>
        <v/>
      </c>
      <c r="E14" s="21">
        <f>E4*Assumptions!$B$30</f>
        <v/>
      </c>
      <c r="F14" s="21">
        <f>F4*Assumptions!$B$30</f>
        <v/>
      </c>
    </row>
    <row r="15">
      <c r="A15" s="3" t="inlineStr">
        <is>
          <t>Less: Change in net working capital</t>
        </is>
      </c>
      <c r="B15" s="21">
        <f>(B4-Historicals!$E$4)*Assumptions!$B$31</f>
        <v/>
      </c>
      <c r="C15" s="21">
        <f>(C4-B4)*Assumptions!$B$31</f>
        <v/>
      </c>
      <c r="D15" s="21">
        <f>(D4-C4)*Assumptions!$B$31</f>
        <v/>
      </c>
      <c r="E15" s="21">
        <f>(E4-D4)*Assumptions!$B$31</f>
        <v/>
      </c>
      <c r="F15" s="21">
        <f>(F4-E4)*Assumptions!$B$31</f>
        <v/>
      </c>
    </row>
    <row r="16">
      <c r="A16" s="3" t="inlineStr">
        <is>
          <t>Unlevered free cash flow</t>
        </is>
      </c>
      <c r="B16" s="21">
        <f>B12+B8+B13-B14-B15</f>
        <v/>
      </c>
      <c r="C16" s="21">
        <f>C12+C8+C13-C14-C15</f>
        <v/>
      </c>
      <c r="D16" s="21">
        <f>D12+D8+D13-D14-D15</f>
        <v/>
      </c>
      <c r="E16" s="21">
        <f>E12+E8+E13-E14-E15</f>
        <v/>
      </c>
      <c r="F16" s="21">
        <f>F12+F8+F13-F14-F15</f>
        <v/>
      </c>
    </row>
    <row r="17">
      <c r="A17" s="3" t="inlineStr">
        <is>
          <t>Discount factor</t>
        </is>
      </c>
      <c r="B17" s="22">
        <f>1/(1+Assumptions!$B$17)^1</f>
        <v/>
      </c>
      <c r="C17" s="22">
        <f>1/(1+Assumptions!$B$17)^2</f>
        <v/>
      </c>
      <c r="D17" s="22">
        <f>1/(1+Assumptions!$B$17)^3</f>
        <v/>
      </c>
      <c r="E17" s="22">
        <f>1/(1+Assumptions!$B$17)^4</f>
        <v/>
      </c>
      <c r="F17" s="22">
        <f>1/(1+Assumptions!$B$17)^5</f>
        <v/>
      </c>
    </row>
    <row r="18">
      <c r="A18" s="3" t="inlineStr">
        <is>
          <t>Present value of FCF</t>
        </is>
      </c>
      <c r="B18" s="21">
        <f>B16*B17</f>
        <v/>
      </c>
      <c r="C18" s="21">
        <f>C16*C17</f>
        <v/>
      </c>
      <c r="D18" s="21">
        <f>D16*D17</f>
        <v/>
      </c>
      <c r="E18" s="21">
        <f>E16*E17</f>
        <v/>
      </c>
      <c r="F18" s="21">
        <f>F16*F17</f>
        <v/>
      </c>
    </row>
    <row r="19">
      <c r="A19" s="7" t="inlineStr">
        <is>
          <t>Sum of PV of FCF</t>
        </is>
      </c>
      <c r="B19" s="21">
        <f>SUM(B18:F18)</f>
        <v/>
      </c>
    </row>
    <row r="20">
      <c r="A20" s="3" t="inlineStr">
        <is>
          <t>Terminal value</t>
        </is>
      </c>
      <c r="B20" s="21">
        <f>F16*(1+Assumptions!$B$34)/(Assumptions!$B$17-Assumptions!$B$34)</f>
        <v/>
      </c>
    </row>
    <row r="21">
      <c r="A21" s="3" t="inlineStr">
        <is>
          <t>PV of terminal value</t>
        </is>
      </c>
      <c r="B21" s="21">
        <f>B20/(1+Assumptions!$B$17)^5</f>
        <v/>
      </c>
    </row>
    <row r="22">
      <c r="A22" s="7" t="inlineStr">
        <is>
          <t>Enterprise value</t>
        </is>
      </c>
      <c r="B22" s="21">
        <f>B19+B21</f>
        <v/>
      </c>
    </row>
    <row r="23">
      <c r="A23" s="3" t="inlineStr">
        <is>
          <t>Less: Net debt</t>
        </is>
      </c>
      <c r="B23" s="21">
        <f>Assumptions!$B$35</f>
        <v/>
      </c>
    </row>
    <row r="24">
      <c r="A24" s="7" t="inlineStr">
        <is>
          <t>Equity value</t>
        </is>
      </c>
      <c r="B24" s="21">
        <f>B22-B23</f>
        <v/>
      </c>
    </row>
    <row r="25">
      <c r="A25" s="3" t="inlineStr">
        <is>
          <t>Diluted shares outstanding (M)</t>
        </is>
      </c>
      <c r="B25" s="21">
        <f>Assumptions!$B$36</f>
        <v/>
      </c>
    </row>
    <row r="26">
      <c r="A26" s="10" t="inlineStr">
        <is>
          <t>Implied value per share ($)</t>
        </is>
      </c>
      <c r="B26" s="23">
        <f>B24/B25</f>
        <v/>
      </c>
    </row>
  </sheetData>
  <mergeCells count="2">
    <mergeCell ref="A2:F2"/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6" customWidth="1" min="2" max="2"/>
    <col width="16" customWidth="1" min="3" max="3"/>
    <col width="16" customWidth="1" min="4" max="4"/>
    <col width="16" customWidth="1" min="5" max="5"/>
    <col width="60" customWidth="1" min="6" max="6"/>
  </cols>
  <sheetData>
    <row r="1" ht="24" customHeight="1">
      <c r="A1" s="1" t="inlineStr">
        <is>
          <t>Comparable companies — AI infrastructure &amp; semiconductors</t>
        </is>
      </c>
    </row>
    <row r="2" ht="18" customHeight="1">
      <c r="A2" s="2" t="inlineStr">
        <is>
          <t>Market data as of 2026-10-16 (Yahoo Finance, frozen in data/). $ millions, except price and per-share.</t>
        </is>
      </c>
    </row>
    <row r="3">
      <c r="A3" s="20" t="inlineStr"/>
      <c r="B3" s="20" t="inlineStr">
        <is>
          <t>AMD</t>
        </is>
      </c>
      <c r="C3" s="20" t="inlineStr">
        <is>
          <t>NVDA</t>
        </is>
      </c>
      <c r="D3" s="20" t="inlineStr">
        <is>
          <t>AVGO</t>
        </is>
      </c>
      <c r="E3" s="20" t="inlineStr">
        <is>
          <t>ALAB</t>
        </is>
      </c>
    </row>
    <row r="4">
      <c r="A4" s="3" t="inlineStr">
        <is>
          <t>Price ($, Oct 16 close)</t>
        </is>
      </c>
      <c r="B4" s="23" t="n">
        <v>528.75</v>
      </c>
      <c r="C4" s="23" t="n">
        <v>214.13</v>
      </c>
      <c r="D4" s="23" t="n">
        <v>328.75</v>
      </c>
      <c r="E4" s="23" t="n">
        <v>285.82</v>
      </c>
    </row>
    <row r="5">
      <c r="A5" s="3" t="inlineStr">
        <is>
          <t>Market cap ($M)</t>
        </is>
      </c>
      <c r="B5" s="21" t="n">
        <v>902049.6</v>
      </c>
      <c r="C5" s="21" t="n">
        <v>5278775.4</v>
      </c>
      <c r="D5" s="21" t="n">
        <v>1620074.6</v>
      </c>
      <c r="E5" s="21" t="n">
        <v>50829.4</v>
      </c>
    </row>
    <row r="6">
      <c r="A6" s="3" t="inlineStr">
        <is>
          <t>Enterprise value ($M)</t>
        </is>
      </c>
      <c r="B6" s="21" t="n">
        <v>854336.2</v>
      </c>
      <c r="C6" s="21" t="n">
        <v>5136924</v>
      </c>
      <c r="D6" s="21" t="n">
        <v>1604774.8</v>
      </c>
      <c r="E6" s="21" t="n">
        <v>48377</v>
      </c>
    </row>
    <row r="7">
      <c r="A7" s="3" t="inlineStr">
        <is>
          <t>Revenue, TTM ($M)</t>
        </is>
      </c>
      <c r="B7" s="21" t="n">
        <v>41305</v>
      </c>
      <c r="C7" s="21" t="n">
        <v>302970</v>
      </c>
      <c r="D7" s="21" t="n">
        <v>89104</v>
      </c>
      <c r="E7" s="21" t="n">
        <v>1201.9</v>
      </c>
    </row>
    <row r="8">
      <c r="A8" s="3" t="inlineStr">
        <is>
          <t>EBITDA, TTM ($M)</t>
        </is>
      </c>
      <c r="B8" s="21" t="n">
        <v>9562</v>
      </c>
      <c r="C8" s="21" t="n">
        <v>201266</v>
      </c>
      <c r="D8" s="21" t="n">
        <v>52260</v>
      </c>
      <c r="E8" s="21" t="n">
        <v>285.4</v>
      </c>
    </row>
    <row r="9">
      <c r="A9" s="3" t="inlineStr">
        <is>
          <t>Forward EPS ($)</t>
        </is>
      </c>
      <c r="B9" s="23" t="n">
        <v>15.7621</v>
      </c>
      <c r="C9" s="23" t="n">
        <v>15.9146</v>
      </c>
      <c r="D9" s="23" t="n">
        <v>19.397</v>
      </c>
      <c r="E9" s="23" t="n">
        <v>6.4031</v>
      </c>
    </row>
    <row r="10">
      <c r="A10" s="3" t="inlineStr">
        <is>
          <t>EV / Revenue</t>
        </is>
      </c>
      <c r="B10" s="24">
        <f>B6/B7</f>
        <v/>
      </c>
      <c r="C10" s="24">
        <f>C6/C7</f>
        <v/>
      </c>
      <c r="D10" s="24">
        <f>D6/D7</f>
        <v/>
      </c>
      <c r="E10" s="24">
        <f>E6/E7</f>
        <v/>
      </c>
    </row>
    <row r="11">
      <c r="A11" s="3" t="inlineStr">
        <is>
          <t>EV / EBITDA</t>
        </is>
      </c>
      <c r="B11" s="24">
        <f>B6/B8</f>
        <v/>
      </c>
      <c r="C11" s="24">
        <f>C6/C8</f>
        <v/>
      </c>
      <c r="D11" s="24">
        <f>D6/D8</f>
        <v/>
      </c>
      <c r="E11" s="24">
        <f>E6/E8</f>
        <v/>
      </c>
    </row>
    <row r="12">
      <c r="A12" s="3" t="inlineStr">
        <is>
          <t>Trailing P/E</t>
        </is>
      </c>
      <c r="B12" s="24" t="n">
        <v>140.96</v>
      </c>
      <c r="C12" s="24" t="n">
        <v>27.64</v>
      </c>
      <c r="D12" s="24" t="n">
        <v>43.34</v>
      </c>
      <c r="E12" s="24" t="n">
        <v>144.33</v>
      </c>
    </row>
    <row r="13">
      <c r="A13" s="3" t="inlineStr">
        <is>
          <t>Forward P/E</t>
        </is>
      </c>
      <c r="B13" s="24">
        <f>B4/B9</f>
        <v/>
      </c>
      <c r="C13" s="24">
        <f>C4/C9</f>
        <v/>
      </c>
      <c r="D13" s="24">
        <f>D4/D9</f>
        <v/>
      </c>
      <c r="E13" s="24">
        <f>E4/E9</f>
        <v/>
      </c>
    </row>
    <row r="15">
      <c r="A15" s="10" t="inlineStr">
        <is>
          <t>AMD implied valuation from peer multiples</t>
        </is>
      </c>
    </row>
    <row r="16">
      <c r="A16" s="3" t="inlineStr">
        <is>
          <t>Median peer EV / Revenue</t>
        </is>
      </c>
      <c r="B16" s="24">
        <f>MEDIAN(C10:E10)</f>
        <v/>
      </c>
    </row>
    <row r="17">
      <c r="A17" s="3" t="inlineStr">
        <is>
          <t>Implied EV ($M)</t>
        </is>
      </c>
      <c r="B17" s="21">
        <f>B16*B7</f>
        <v/>
      </c>
    </row>
    <row r="18">
      <c r="A18" s="3" t="inlineStr">
        <is>
          <t>Less: Net debt ($M)</t>
        </is>
      </c>
      <c r="B18" s="21">
        <f>Assumptions!$B$35</f>
        <v/>
      </c>
    </row>
    <row r="19">
      <c r="A19" s="3" t="inlineStr">
        <is>
          <t>Implied equity ($M)</t>
        </is>
      </c>
      <c r="B19" s="21">
        <f>B17-B18</f>
        <v/>
      </c>
    </row>
    <row r="20">
      <c r="A20" s="7" t="inlineStr">
        <is>
          <t>Implied per share — EV/Revenue ($)</t>
        </is>
      </c>
      <c r="B20" s="23">
        <f>B19/Assumptions!$B$36</f>
        <v/>
      </c>
      <c r="C20" s="25" t="inlineStr">
        <is>
          <t>EV/Revenue (median peer 18.0x → $456.16) understates AMD's operating leverage as datacenter mix grows — not the operative lens.</t>
        </is>
      </c>
    </row>
    <row r="22">
      <c r="A22" s="3" t="inlineStr">
        <is>
          <t>Median peer EV / EBITDA</t>
        </is>
      </c>
      <c r="B22" s="24">
        <f>MEDIAN(C11:E11)</f>
        <v/>
      </c>
    </row>
    <row r="23">
      <c r="A23" s="3" t="inlineStr">
        <is>
          <t>Implied EV ($M)</t>
        </is>
      </c>
      <c r="B23" s="21">
        <f>B22*B8</f>
        <v/>
      </c>
    </row>
    <row r="24">
      <c r="A24" s="3" t="inlineStr">
        <is>
          <t>Implied equity ($M)</t>
        </is>
      </c>
      <c r="B24" s="21">
        <f>B22-Assumptions!$B$35</f>
        <v/>
      </c>
    </row>
    <row r="25">
      <c r="A25" s="10" t="inlineStr">
        <is>
          <t>Implied per share — EV/EBITDA ($)</t>
        </is>
      </c>
      <c r="B25" s="23">
        <f>B24/Assumptions!$B$36</f>
        <v/>
      </c>
      <c r="C25" s="25" t="inlineStr">
        <is>
          <t>[JUDGMENT] Operative comps lens: EV/EBITDA at median peer 30.7x → $180.38. AMD's own 89.3x multiple prices in the growth; peer median is the comp.</t>
        </is>
      </c>
    </row>
    <row r="27">
      <c r="A27" s="3" t="inlineStr">
        <is>
          <t>Median peer forward P/E</t>
        </is>
      </c>
      <c r="B27" s="24">
        <f>MEDIAN(C13:F13)</f>
        <v/>
      </c>
    </row>
    <row r="28">
      <c r="A28" s="3" t="inlineStr">
        <is>
          <t>AMD forward EPS ($)</t>
        </is>
      </c>
      <c r="B28" s="23">
        <f>B9</f>
        <v/>
      </c>
    </row>
    <row r="29">
      <c r="A29" s="7" t="inlineStr">
        <is>
          <t>Implied per share — forward P/E ($)</t>
        </is>
      </c>
      <c r="B29" s="23">
        <f>B27*B28</f>
        <v/>
      </c>
      <c r="C29" s="25" t="inlineStr">
        <is>
          <t>Forward P/E shown for reference; DCF is the primary lens.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7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10" customWidth="1" min="2" max="2"/>
    <col width="12" customWidth="1" min="3" max="3"/>
    <col width="10" customWidth="1" min="4" max="4"/>
  </cols>
  <sheetData>
    <row r="1" ht="24" customHeight="1">
      <c r="A1" s="1" t="inlineStr">
        <is>
          <t>Verification appendix</t>
        </is>
      </c>
    </row>
    <row r="2" ht="18" customHeight="1">
      <c r="A2" s="2" t="inlineStr">
        <is>
          <t>Tie-outs and data provenance. Every [DATA] input is sourced; every [JUDGMENT] input carries a rationale on Assumptions.</t>
        </is>
      </c>
    </row>
    <row r="3">
      <c r="A3" s="20" t="inlineStr">
        <is>
          <t>Check</t>
        </is>
      </c>
      <c r="B3" s="20" t="inlineStr">
        <is>
          <t>Detail</t>
        </is>
      </c>
      <c r="C3" s="20" t="inlineStr">
        <is>
          <t>Status</t>
        </is>
      </c>
      <c r="D3" s="20" t="n"/>
    </row>
    <row r="4" ht="30" customHeight="1">
      <c r="A4" s="26" t="inlineStr">
        <is>
          <t>Net income ties across statements</t>
        </is>
      </c>
      <c r="B4" s="8" t="inlineStr">
        <is>
          <t>Cash-flow 'Net Income From Continuing Operations' = income-statement net income for FY2022–FY2025 (max diff $0.0M)</t>
        </is>
      </c>
      <c r="C4" s="27" t="inlineStr">
        <is>
          <t>PASS</t>
        </is>
      </c>
    </row>
    <row r="5" ht="30" customHeight="1">
      <c r="A5" s="26" t="inlineStr">
        <is>
          <t>Revenue sourced from filings</t>
        </is>
      </c>
      <c r="B5" s="8" t="inlineStr">
        <is>
          <t>FY2022–FY2025 total revenue 23,601.0 / 22,680.0 / 25,785.0 / 34,639.0 ($M) from Yahoo Finance annual income statement; FY2021 column blank in source — excluded</t>
        </is>
      </c>
      <c r="C5" s="27" t="inlineStr">
        <is>
          <t>PASS</t>
        </is>
      </c>
    </row>
    <row r="6" ht="30" customHeight="1">
      <c r="A6" s="26" t="inlineStr">
        <is>
          <t>Share count</t>
        </is>
      </c>
      <c r="B6" s="8" t="inlineStr">
        <is>
          <t>1,632.5M outstanding (Yahoo Finance, Oct 2026); FY2025 diluted weighted avg 1,636M (10-K via Yahoo). Delta &lt;1%</t>
        </is>
      </c>
      <c r="C6" s="27" t="inlineStr">
        <is>
          <t>PASS</t>
        </is>
      </c>
    </row>
    <row r="7" ht="30" customHeight="1">
      <c r="A7" s="26" t="inlineStr">
        <is>
          <t>Net debt bridge</t>
        </is>
      </c>
      <c r="B7" s="8" t="inlineStr">
        <is>
          <t>Q2 2026 balance sheet (2026-06-30): cash &amp; equivalents $5,086M less total debt $4,276M = net cash $810M</t>
        </is>
      </c>
      <c r="C7" s="27" t="inlineStr">
        <is>
          <t>PASS</t>
        </is>
      </c>
    </row>
    <row r="8" ht="30" customHeight="1">
      <c r="A8" s="26" t="inlineStr">
        <is>
          <t>Beta</t>
        </is>
      </c>
      <c r="B8" s="8" t="inlineStr">
        <is>
          <t>2.45 (Yahoo Finance 2.454, 2026-10-19); cross-checked MarketBeat 2.45, Finnhub 2.54</t>
        </is>
      </c>
      <c r="C8" s="27" t="inlineStr">
        <is>
          <t>PASS</t>
        </is>
      </c>
    </row>
    <row r="9" ht="30" customHeight="1">
      <c r="A9" s="26" t="inlineStr">
        <is>
          <t>Risk-free rate</t>
        </is>
      </c>
      <c r="B9" s="8" t="inlineStr">
        <is>
          <t>US 10Y 5.085% on 2026-10-19 (Reuters); used 5.1% — shared framework constant, already verified</t>
        </is>
      </c>
      <c r="C9" s="27" t="inlineStr">
        <is>
          <t>PASS</t>
        </is>
      </c>
    </row>
    <row r="10" ht="30" customHeight="1">
      <c r="A10" s="26" t="inlineStr">
        <is>
          <t>Comps market data as-of</t>
        </is>
      </c>
      <c r="B10" s="8" t="inlineStr">
        <is>
          <t>NVDA / AVGO / AMD / ALAB Oct 16 closes and TTM fields pulled 2026-10-19 via Yahoo Finance (frozen in data/)</t>
        </is>
      </c>
      <c r="C10" s="27" t="inlineStr">
        <is>
          <t>PASS</t>
        </is>
      </c>
    </row>
    <row r="11" ht="30" customHeight="1">
      <c r="A11" s="26" t="inlineStr">
        <is>
          <t>FCF bridge reconciles</t>
        </is>
      </c>
      <c r="B11" s="8" t="inlineStr">
        <is>
          <t>Formula check: EV = sum of PV of FCF + PV of terminal value</t>
        </is>
      </c>
      <c r="C11" s="27">
        <f>IF(ABS(DCF_Base!B22-(DCF_Base!B19+DCF_Base!B21))&lt;0.5,"PASS","FAIL")</f>
        <v/>
      </c>
    </row>
    <row r="12" ht="30" customHeight="1">
      <c r="A12" s="26" t="inlineStr">
        <is>
          <t>Per-share arithmetic</t>
        </is>
      </c>
      <c r="B12" s="8" t="inlineStr">
        <is>
          <t>Formula check: per-share = equity value / shares</t>
        </is>
      </c>
      <c r="C12" s="27">
        <f>IF(ABS(DCF_Base!B26-DCF_Base!B24/DCF_Base!B25)&lt;0.01,"PASS","FAIL")</f>
        <v/>
      </c>
    </row>
    <row r="13" ht="30" customHeight="1">
      <c r="A13" s="26" t="inlineStr">
        <is>
          <t>Xilinx amortization distorts GAAP earnings</t>
        </is>
      </c>
      <c r="B13" s="8" t="inlineStr">
        <is>
          <t>FY2025 D&amp;A $3,004M (8.7% of revenue) on Xilinx intangibles; model values on EBITDA/FCF, not GAAP NI</t>
        </is>
      </c>
      <c r="C13" s="27" t="inlineStr">
        <is>
          <t>PASS</t>
        </is>
      </c>
    </row>
    <row r="14" ht="30" customHeight="1">
      <c r="A14" s="26" t="inlineStr">
        <is>
          <t>Tax normalization</t>
        </is>
      </c>
      <c r="B14" s="8" t="inlineStr">
        <is>
          <t>2022/2023/2025 tax provisions were benefits; model uses 21% statutory forward rate — flagged as judgment on Assumptions</t>
        </is>
      </c>
      <c r="C14" s="27" t="inlineStr">
        <is>
          <t>PASS</t>
        </is>
      </c>
    </row>
    <row r="15" ht="30" customHeight="1">
      <c r="A15" s="26" t="inlineStr">
        <is>
          <t>Down-cycle in bear case</t>
        </is>
      </c>
      <c r="B15" s="8" t="inlineStr">
        <is>
          <t>Bear case includes an actual −15% revenue down year (FY2029), not just slower growth — semi cyclicality requirement</t>
        </is>
      </c>
      <c r="C15" s="27" t="inlineStr">
        <is>
          <t>PASS</t>
        </is>
      </c>
    </row>
    <row r="16" ht="30" customHeight="1">
      <c r="A16" s="26" t="inlineStr">
        <is>
          <t>Comps distortion flagged</t>
        </is>
      </c>
      <c r="B16" s="8" t="inlineStr">
        <is>
          <t>AMD's own trailing P/E 141x and EV/EBITDA 89.3x are growth-phase multiples; operative lens is median peer EV/EBITDA</t>
        </is>
      </c>
      <c r="C16" s="27" t="inlineStr">
        <is>
          <t>PASS</t>
        </is>
      </c>
    </row>
    <row r="17" ht="30" customHeight="1">
      <c r="A17" s="26" t="inlineStr">
        <is>
          <t>DCF vs market gap is explainable</t>
        </is>
      </c>
      <c r="B17" s="8" t="inlineStr">
        <is>
          <t>Base per-share trails $528.75 because a 16.1% WACC (beta 2.45 × 5.1% risk-free) discounts even 27% 5-yr revenue CAGR hard; the market prices a near-flawless challenger ramp</t>
        </is>
      </c>
      <c r="C17" s="27" t="inlineStr">
        <is>
          <t>PASS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7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42" customWidth="1" min="2" max="2"/>
    <col width="60" customWidth="1" min="3" max="3"/>
    <col width="14" customWidth="1" min="4" max="4"/>
    <col width="44" customWidth="1" min="5" max="5"/>
  </cols>
  <sheetData>
    <row r="1" ht="24" customHeight="1">
      <c r="A1" s="1" t="inlineStr">
        <is>
          <t>Sources</t>
        </is>
      </c>
    </row>
    <row r="2" ht="18" customHeight="1">
      <c r="A2" s="2" t="inlineStr">
        <is>
          <t>Full URLs and access dates for every external input.</t>
        </is>
      </c>
    </row>
    <row r="3">
      <c r="A3" s="20" t="inlineStr">
        <is>
          <t>#</t>
        </is>
      </c>
      <c r="B3" s="20" t="inlineStr">
        <is>
          <t>Source</t>
        </is>
      </c>
      <c r="C3" s="20" t="inlineStr">
        <is>
          <t>URL</t>
        </is>
      </c>
      <c r="D3" s="20" t="inlineStr">
        <is>
          <t>Accessed</t>
        </is>
      </c>
      <c r="E3" s="20" t="inlineStr">
        <is>
          <t>Used for</t>
        </is>
      </c>
    </row>
    <row r="4" ht="28" customHeight="1">
      <c r="A4" s="28" t="n">
        <v>1</v>
      </c>
      <c r="B4" s="8" t="inlineStr">
        <is>
          <t>Yahoo Finance — AMD quote &amp; financials</t>
        </is>
      </c>
      <c r="C4" s="29" t="inlineStr">
        <is>
          <t>https://finance.yahoo.com/quote/AMD</t>
        </is>
      </c>
      <c r="D4" s="28" t="inlineStr">
        <is>
          <t>2026-10-19</t>
        </is>
      </c>
      <c r="E4" s="8" t="inlineStr">
        <is>
          <t>Price, beta, shares, annual/quarterly statements (frozen in data/)</t>
        </is>
      </c>
    </row>
    <row r="5" ht="28" customHeight="1">
      <c r="A5" s="28" t="n">
        <v>2</v>
      </c>
      <c r="B5" s="8" t="inlineStr">
        <is>
          <t>MarketBeat — AMD stock analysis</t>
        </is>
      </c>
      <c r="C5" s="29" t="inlineStr">
        <is>
          <t>https://www.marketbeat.com/stocks/NASDAQ/AMD/competitors-and-alternatives/</t>
        </is>
      </c>
      <c r="D5" s="28" t="inlineStr">
        <is>
          <t>2026-10-19</t>
        </is>
      </c>
      <c r="E5" s="8" t="inlineStr">
        <is>
          <t>Beta (2.45) cross-check; price and earnings context</t>
        </is>
      </c>
    </row>
    <row r="6" ht="28" customHeight="1">
      <c r="A6" s="28" t="n">
        <v>3</v>
      </c>
      <c r="B6" s="8" t="inlineStr">
        <is>
          <t>Finnhub — AMD financial market data</t>
        </is>
      </c>
      <c r="C6" s="29" t="inlineStr">
        <is>
          <t>https://finnhub.io/?q=%22AMD%22</t>
        </is>
      </c>
      <c r="D6" s="28" t="inlineStr">
        <is>
          <t>2026-10-19</t>
        </is>
      </c>
      <c r="E6" s="8" t="inlineStr">
        <is>
          <t>Beta cross-check (2.54)</t>
        </is>
      </c>
    </row>
    <row r="7" ht="28" customHeight="1">
      <c r="A7" s="28" t="n">
        <v>4</v>
      </c>
      <c r="B7" s="8" t="inlineStr">
        <is>
          <t>Reuters — 10Y yield 5.085% on Oct 19, 2026</t>
        </is>
      </c>
      <c r="C7" s="29" t="inlineStr">
        <is>
          <t>https://www.reuters.com/business/wall-st-futures-climb-ai-stocks-rebound-oil-yields-fall-2026-10-19/</t>
        </is>
      </c>
      <c r="D7" s="28" t="inlineStr">
        <is>
          <t>2026-10-19</t>
        </is>
      </c>
      <c r="E7" s="8" t="inlineStr">
        <is>
          <t>Risk-free rate (shared framework constant)</t>
        </is>
      </c>
    </row>
  </sheetData>
  <mergeCells count="2">
    <mergeCell ref="A1:D1"/>
    <mergeCell ref="A2:D2"/>
  </mergeCells>
  <hyperlinks>
    <hyperlink xmlns:r="http://schemas.openxmlformats.org/officeDocument/2006/relationships" ref="C4" r:id="rId1"/>
    <hyperlink xmlns:r="http://schemas.openxmlformats.org/officeDocument/2006/relationships" ref="C5" r:id="rId2"/>
    <hyperlink xmlns:r="http://schemas.openxmlformats.org/officeDocument/2006/relationships" ref="C6" r:id="rId3"/>
    <hyperlink xmlns:r="http://schemas.openxmlformats.org/officeDocument/2006/relationships" ref="C7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2026-10-19T15:34:05+00:00Z</dcterms:created>
  <dcterms:modified xmlns:dcterms="http://purl.org/dc/terms/" xmlns:xsi="http://www.w3.org/2001/XMLSchema-instance" xsi:type="dcterms:W3CDTF">2026-10-19T15:34:05+00:00Z</dcterms:modified>
</cp:coreProperties>
</file>