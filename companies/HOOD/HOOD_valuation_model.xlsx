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11" fillId="5" borderId="0" applyAlignment="1" pivotButton="0" quotePrefix="0" xfId="0">
      <alignment horizontal="center" vertical="center" wrapText="1"/>
    </xf>
    <xf numFmtId="164" fontId="0" fillId="6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hyperlink" Target="https://finance.yahoo.com/quote/HOOD" TargetMode="External" Id="rId1"/><Relationship Type="http://schemas.openxmlformats.org/officeDocument/2006/relationships/hyperlink" Target="https://finance.yahoo.com/quote/COIN" TargetMode="External" Id="rId2"/><Relationship Type="http://schemas.openxmlformats.org/officeDocument/2006/relationships/hyperlink" Target="https://finance.yahoo.com/quote/SOFI" TargetMode="External" Id="rId3"/><Relationship Type="http://schemas.openxmlformats.org/officeDocument/2006/relationships/hyperlink" Target="https://finance.yahoo.com/quote/SCHW" TargetMode="External" Id="rId4"/><Relationship Type="http://schemas.openxmlformats.org/officeDocument/2006/relationships/hyperlink" Target="https://finance.yahoo.com/quote/IBKR" TargetMode="External" Id="rId5"/><Relationship Type="http://schemas.openxmlformats.org/officeDocument/2006/relationships/hyperlink" Target="https://www.reuters.com/business/wall-st-futures-climb-ai-stocks-rebound-oil-yields-fall-2026-10-19/" TargetMode="External" Id="rId6"/><Relationship Type="http://schemas.openxmlformats.org/officeDocument/2006/relationships/hyperlink" Target="https://StockAnalysis.com/stocks/hood/" TargetMode="External" Id="rId7"/><Relationship Type="http://schemas.openxmlformats.org/officeDocument/2006/relationships/hyperlink" Target="https://www.marketbeat.com/stocks/NASDAQ/HOOD/" TargetMode="External" Id="rId8"/><Relationship Type="http://schemas.openxmlformats.org/officeDocument/2006/relationships/hyperlink" Target="https://finnhub.io/?q=%22HOOD%22" TargetMode="External" Id="rId9"/><Relationship Type="http://schemas.openxmlformats.org/officeDocument/2006/relationships/hyperlink" Target="https://www.tipranks.com/stocks/hood/statistics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 —  Robinhood Markets, Inc. (NASDAQ: HOOD)</t>
        </is>
      </c>
    </row>
    <row r="2" ht="18" customHeight="1">
      <c r="A2" s="2" t="inlineStr">
        <is>
          <t>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98.87</v>
      </c>
    </row>
    <row r="5">
      <c r="A5" s="3" t="inlineStr">
        <is>
          <t>Recommendation</t>
        </is>
      </c>
      <c r="B5" s="5" t="inlineStr">
        <is>
          <t>PASS</t>
        </is>
      </c>
    </row>
    <row r="6">
      <c r="A6" s="3" t="inlineStr">
        <is>
          <t>One-line thesis</t>
        </is>
      </c>
      <c r="B6" s="6" t="inlineStr">
        <is>
          <t>Exceptional, founder-led brokerage priced for perfection: even the bull case sits ~50% below the market price in a 5.1% rate world.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WACC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FY2022–2025 financials from Yahoo Finance annual statements</t>
        </is>
      </c>
    </row>
    <row r="11">
      <c r="A11" s="7" t="inlineStr">
        <is>
          <t>DCF_Base / DCF_Bull / DCF_Bear</t>
        </is>
      </c>
      <c r="B11" s="8" t="inlineStr">
        <is>
          <t>5-year DCF per case; all formulas live</t>
        </is>
      </c>
    </row>
    <row r="12">
      <c r="A12" s="7" t="inlineStr">
        <is>
          <t>Comps</t>
        </is>
      </c>
      <c r="B12" s="8" t="inlineStr">
        <is>
          <t>COIN, SOFI, SCHW, IBKR multiples and HOOD-implied ranges</t>
        </is>
      </c>
    </row>
    <row r="13">
      <c r="A13" s="7" t="inlineStr">
        <is>
          <t>Sensitivity</t>
        </is>
      </c>
      <c r="B13" s="8" t="inlineStr">
        <is>
          <t>Base-case per-share value vs WACC and terminal growth</t>
        </is>
      </c>
    </row>
    <row r="14">
      <c r="A14" s="7" t="inlineStr">
        <is>
          <t>Checks</t>
        </is>
      </c>
      <c r="B14" s="8" t="inlineStr">
        <is>
          <t>Verification appendix: tie-outs and data sources</t>
        </is>
      </c>
    </row>
    <row r="15">
      <c r="A15" s="7" t="inlineStr">
        <is>
          <t>Sources</t>
        </is>
      </c>
      <c r="B15" s="8" t="inlineStr">
        <is>
          <t>Full URLs and access dates</t>
        </is>
      </c>
    </row>
    <row r="17">
      <c r="A17" s="9" t="inlineStr">
        <is>
          <t>Disclaimer: Independent project for skill demonstration; not investment advice.</t>
        </is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WACC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5.09% on 2026-10-19 (Reuters); rounded to 5.1%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</t>
        </is>
      </c>
    </row>
    <row r="6">
      <c r="A6" s="3" t="inlineStr">
        <is>
          <t>Beta (HOOD)</t>
        </is>
      </c>
      <c r="B6" s="15" t="n">
        <v>2.35</v>
      </c>
      <c r="C6" s="12" t="inlineStr">
        <is>
          <t>[DATA]</t>
        </is>
      </c>
      <c r="D6" s="13" t="inlineStr">
        <is>
          <t>Yahoo Finance 2026-10-19; cross-checked 2.35–2.48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</t>
        </is>
      </c>
    </row>
    <row r="8">
      <c r="A8" s="3" t="inlineStr">
        <is>
          <t>Pre-tax cost of debt</t>
        </is>
      </c>
      <c r="B8" s="11" t="n">
        <v>0.055</v>
      </c>
      <c r="C8" s="14" t="inlineStr">
        <is>
          <t>[JUDGMENT]</t>
        </is>
      </c>
      <c r="D8" s="13" t="inlineStr">
        <is>
          <t>Through-cycle new-issue est.; 2025 cash interest was only $31M on near-zero-coupon converts</t>
        </is>
      </c>
    </row>
    <row r="9">
      <c r="A9" s="3" t="inlineStr">
        <is>
          <t>Marginal tax rate</t>
        </is>
      </c>
      <c r="B9" s="11" t="n">
        <v>0.21</v>
      </c>
      <c r="C9" s="14" t="inlineStr">
        <is>
          <t>[JUDGMENT]</t>
        </is>
      </c>
      <c r="D9" s="13" t="inlineStr">
        <is>
          <t>US statutory; 2024–25 effective rate distorted by valuation-allowance moves</t>
        </is>
      </c>
    </row>
    <row r="10">
      <c r="A10" s="3" t="inlineStr">
        <is>
          <t>After-tax cost of debt</t>
        </is>
      </c>
      <c r="B10" s="16">
        <f>Assumptions!$B$8*(1-Assumptions!$B$9)</f>
        <v/>
      </c>
      <c r="C10" s="17" t="inlineStr">
        <is>
          <t>[CALC]</t>
        </is>
      </c>
      <c r="D10" s="13" t="inlineStr"/>
    </row>
    <row r="11">
      <c r="A11" s="3" t="inlineStr">
        <is>
          <t>Market value of equity ($M)</t>
        </is>
      </c>
      <c r="B11" s="18" t="n">
        <v>88892.3</v>
      </c>
      <c r="C11" s="12" t="inlineStr">
        <is>
          <t>[DATA]</t>
        </is>
      </c>
      <c r="D11" s="13" t="inlineStr">
        <is>
          <t>Yahoo Finance 2026-10-19: $98.87 × 899.1M shares</t>
        </is>
      </c>
    </row>
    <row r="12">
      <c r="A12" s="3" t="inlineStr">
        <is>
          <t>Book value of debt ($M)</t>
        </is>
      </c>
      <c r="B12" s="18" t="n">
        <v>22706</v>
      </c>
      <c r="C12" s="12" t="inlineStr">
        <is>
          <t>[DATA]</t>
        </is>
      </c>
      <c r="D12" s="13" t="inlineStr">
        <is>
          <t>Q2 2026 balance sheet (Yahoo Finance)</t>
        </is>
      </c>
    </row>
    <row r="13">
      <c r="A13" s="3" t="inlineStr">
        <is>
          <t>Weight of equity</t>
        </is>
      </c>
      <c r="B13" s="16">
        <f>Assumptions!$B$11/(Assumptions!$B$11+Assumptions!$B$12)</f>
        <v/>
      </c>
      <c r="C13" s="17" t="inlineStr">
        <is>
          <t>[CALC]</t>
        </is>
      </c>
      <c r="D13" s="13" t="inlineStr"/>
    </row>
    <row r="14">
      <c r="A14" s="3" t="inlineStr">
        <is>
          <t>Weight of debt</t>
        </is>
      </c>
      <c r="B14" s="16">
        <f>Assumptions!$B$12/(Assumptions!$B$11+Assumptions!$B$12)</f>
        <v/>
      </c>
      <c r="C14" s="17" t="inlineStr">
        <is>
          <t>[CALC]</t>
        </is>
      </c>
      <c r="D14" s="13" t="inlineStr"/>
    </row>
    <row r="15">
      <c r="A15" s="3" t="inlineStr">
        <is>
          <t>WACC — base case</t>
        </is>
      </c>
      <c r="B15" s="16">
        <f>Assumptions!$B$13*Assumptions!$B$7+Assumptions!$B$14*Assumptions!$B$10</f>
        <v/>
      </c>
      <c r="C15" s="17" t="inlineStr">
        <is>
          <t>[CALC]</t>
        </is>
      </c>
      <c r="D15" s="13" t="inlineStr"/>
    </row>
    <row r="16">
      <c r="A16" s="3" t="inlineStr">
        <is>
          <t>WACC — bull case (-100 bps)</t>
        </is>
      </c>
      <c r="B16" s="16">
        <f>Assumptions!$B$15-0.01</f>
        <v/>
      </c>
      <c r="C16" s="17" t="inlineStr">
        <is>
          <t>[CALC]</t>
        </is>
      </c>
      <c r="D16" s="13" t="inlineStr">
        <is>
          <t>Rate-normalization scenario</t>
        </is>
      </c>
    </row>
    <row r="17">
      <c r="A17" s="3" t="inlineStr">
        <is>
          <t>WACC — bear case (+100 bps)</t>
        </is>
      </c>
      <c r="B17" s="16">
        <f>Assumptions!$B$15+0.01</f>
        <v/>
      </c>
      <c r="C17" s="17" t="inlineStr">
        <is>
          <t>[CALC]</t>
        </is>
      </c>
      <c r="D17" s="13" t="inlineStr">
        <is>
          <t>Higher-for-longer scenario</t>
        </is>
      </c>
    </row>
    <row r="19">
      <c r="A19" s="10" t="inlineStr">
        <is>
          <t>Forecast drivers (2026–2030)</t>
        </is>
      </c>
    </row>
    <row r="20">
      <c r="B20" s="19" t="n">
        <v>2026</v>
      </c>
      <c r="C20" s="19" t="n">
        <v>2027</v>
      </c>
      <c r="D20" s="19" t="n">
        <v>2028</v>
      </c>
      <c r="E20" s="19" t="n">
        <v>2029</v>
      </c>
      <c r="F20" s="19" t="n">
        <v>2030</v>
      </c>
    </row>
    <row r="21">
      <c r="A21" s="3" t="inlineStr">
        <is>
          <t>Revenue growth — base</t>
        </is>
      </c>
      <c r="B21" s="11" t="n">
        <v>0.35</v>
      </c>
      <c r="C21" s="11" t="n">
        <v>0.25</v>
      </c>
      <c r="D21" s="11" t="n">
        <v>0.2</v>
      </c>
      <c r="E21" s="11" t="n">
        <v>0.17</v>
      </c>
      <c r="F21" s="11" t="n">
        <v>0.125</v>
      </c>
      <c r="G21" s="14" t="inlineStr">
        <is>
          <t>[JUDGMENT]</t>
        </is>
      </c>
      <c r="H21" s="13" t="inlineStr">
        <is>
          <t>Taper from 51.6% (2025); street expects ~39% for 2026 (TipRanks)</t>
        </is>
      </c>
    </row>
    <row r="22">
      <c r="A22" s="3" t="inlineStr">
        <is>
          <t>Revenue growth — bull</t>
        </is>
      </c>
      <c r="B22" s="11" t="n">
        <v>0.4</v>
      </c>
      <c r="C22" s="11" t="n">
        <v>0.3</v>
      </c>
      <c r="D22" s="11" t="n">
        <v>0.25</v>
      </c>
      <c r="E22" s="11" t="n">
        <v>0.22</v>
      </c>
      <c r="F22" s="11" t="n">
        <v>0.175</v>
      </c>
      <c r="G22" s="14" t="inlineStr">
        <is>
          <t>[JUDGMENT]</t>
        </is>
      </c>
      <c r="H22" s="13" t="inlineStr">
        <is>
          <t>Sustained crypto/options supercycle</t>
        </is>
      </c>
    </row>
    <row r="23">
      <c r="A23" s="3" t="inlineStr">
        <is>
          <t>Revenue growth — bear</t>
        </is>
      </c>
      <c r="B23" s="11" t="n">
        <v>0.27</v>
      </c>
      <c r="C23" s="11" t="n">
        <v>0.17</v>
      </c>
      <c r="D23" s="11" t="n">
        <v>0.12</v>
      </c>
      <c r="E23" s="11" t="n">
        <v>0.09</v>
      </c>
      <c r="F23" s="11" t="n">
        <v>0.045</v>
      </c>
      <c r="G23" s="14" t="inlineStr">
        <is>
          <t>[JUDGMENT]</t>
        </is>
      </c>
      <c r="H23" s="13" t="inlineStr">
        <is>
          <t>Rate cuts compress net interest income; trading slowdown</t>
        </is>
      </c>
    </row>
    <row r="24">
      <c r="A24" s="3" t="inlineStr">
        <is>
          <t>EBITDA margin — base</t>
        </is>
      </c>
      <c r="B24" s="11" t="n">
        <v>0.5</v>
      </c>
      <c r="C24" s="11" t="n">
        <v>0.52</v>
      </c>
      <c r="D24" s="11" t="n">
        <v>0.54</v>
      </c>
      <c r="E24" s="11" t="n">
        <v>0.55</v>
      </c>
      <c r="F24" s="11" t="n">
        <v>0.5600000000000001</v>
      </c>
      <c r="G24" s="14" t="inlineStr">
        <is>
          <t>[JUDGMENT]</t>
        </is>
      </c>
      <c r="H24" s="13" t="inlineStr">
        <is>
          <t>2025: 48.7%; scale toward mature-broker margin</t>
        </is>
      </c>
    </row>
    <row r="25">
      <c r="A25" s="3" t="inlineStr">
        <is>
          <t>EBITDA margin — bull</t>
        </is>
      </c>
      <c r="B25" s="11" t="n">
        <v>0.52</v>
      </c>
      <c r="C25" s="11" t="n">
        <v>0.54</v>
      </c>
      <c r="D25" s="11" t="n">
        <v>0.5600000000000001</v>
      </c>
      <c r="E25" s="11" t="n">
        <v>0.57</v>
      </c>
      <c r="F25" s="11" t="n">
        <v>0.58</v>
      </c>
      <c r="G25" s="14" t="inlineStr">
        <is>
          <t>[JUDGMENT]</t>
        </is>
      </c>
      <c r="H25" s="13" t="inlineStr">
        <is>
          <t>Faster operating leverage</t>
        </is>
      </c>
    </row>
    <row r="26">
      <c r="A26" s="3" t="inlineStr">
        <is>
          <t>EBITDA margin — bear</t>
        </is>
      </c>
      <c r="B26" s="11" t="n">
        <v>0.46</v>
      </c>
      <c r="C26" s="11" t="n">
        <v>0.48</v>
      </c>
      <c r="D26" s="11" t="n">
        <v>0.5</v>
      </c>
      <c r="E26" s="11" t="n">
        <v>0.51</v>
      </c>
      <c r="F26" s="11" t="n">
        <v>0.52</v>
      </c>
      <c r="G26" s="14" t="inlineStr">
        <is>
          <t>[JUDGMENT]</t>
        </is>
      </c>
      <c r="H26" s="13" t="inlineStr">
        <is>
          <t>Margin pressure from competition/promo</t>
        </is>
      </c>
    </row>
    <row r="28">
      <c r="A28" s="3" t="inlineStr">
        <is>
          <t>D&amp;A (% of revenue)</t>
        </is>
      </c>
      <c r="B28" s="11" t="n">
        <v>0.02</v>
      </c>
      <c r="G28" s="14" t="inlineStr">
        <is>
          <t>[JUDGMENT]</t>
        </is>
      </c>
      <c r="H28" s="13" t="inlineStr">
        <is>
          <t>2025: 1.9%</t>
        </is>
      </c>
    </row>
    <row r="29">
      <c r="A29" s="3" t="inlineStr">
        <is>
          <t>Stock-based comp. (% of revenue)</t>
        </is>
      </c>
      <c r="B29" s="11" t="n">
        <v>0.06</v>
      </c>
      <c r="C29" s="11" t="n">
        <v>0.055</v>
      </c>
      <c r="D29" s="11" t="n">
        <v>0.05</v>
      </c>
      <c r="E29" s="11" t="n">
        <v>0.045</v>
      </c>
      <c r="F29" s="11" t="n">
        <v>0.04</v>
      </c>
      <c r="G29" s="14" t="inlineStr">
        <is>
          <t>[JUDGMENT]</t>
        </is>
      </c>
      <c r="H29" s="13" t="inlineStr">
        <is>
          <t>2025: 6.8%; declining with scale</t>
        </is>
      </c>
    </row>
    <row r="30">
      <c r="A30" s="3" t="inlineStr">
        <is>
          <t>Capex (% of revenue)</t>
        </is>
      </c>
      <c r="B30" s="11" t="n">
        <v>0.012</v>
      </c>
      <c r="G30" s="14" t="inlineStr">
        <is>
          <t>[JUDGMENT]</t>
        </is>
      </c>
      <c r="H30" s="13" t="inlineStr">
        <is>
          <t>2025: 1.2%</t>
        </is>
      </c>
    </row>
    <row r="31">
      <c r="A31" s="3" t="inlineStr">
        <is>
          <t>Change in NWC (% of revenue growth)</t>
        </is>
      </c>
      <c r="B31" s="11" t="n">
        <v>0.04</v>
      </c>
      <c r="G31" s="14" t="inlineStr">
        <is>
          <t>[JUDGMENT]</t>
        </is>
      </c>
      <c r="H31" s="13" t="inlineStr">
        <is>
          <t>Brokerage receivables scale with activity</t>
        </is>
      </c>
    </row>
    <row r="32">
      <c r="A32" s="3" t="inlineStr">
        <is>
          <t>Terminal growth — base</t>
        </is>
      </c>
      <c r="B32" s="11" t="n">
        <v>0.03</v>
      </c>
      <c r="G32" s="14" t="inlineStr">
        <is>
          <t>[JUDGMENT]</t>
        </is>
      </c>
      <c r="H32" s="13" t="inlineStr">
        <is>
          <t>Long-run nominal GDP</t>
        </is>
      </c>
    </row>
    <row r="33">
      <c r="A33" s="3" t="inlineStr">
        <is>
          <t>Terminal growth — bull</t>
        </is>
      </c>
      <c r="B33" s="11" t="n">
        <v>0.035</v>
      </c>
      <c r="G33" s="14" t="inlineStr">
        <is>
          <t>[JUDGMENT]</t>
        </is>
      </c>
      <c r="H33" s="13" t="inlineStr"/>
    </row>
    <row r="34">
      <c r="A34" s="3" t="inlineStr">
        <is>
          <t>Terminal growth — bear</t>
        </is>
      </c>
      <c r="B34" s="11" t="n">
        <v>0.02</v>
      </c>
      <c r="G34" s="14" t="inlineStr">
        <is>
          <t>[JUDGMENT]</t>
        </is>
      </c>
      <c r="H34" s="13" t="inlineStr"/>
    </row>
    <row r="35">
      <c r="A35" s="3" t="inlineStr">
        <is>
          <t>Net debt ($M)</t>
        </is>
      </c>
      <c r="B35" s="18" t="n">
        <v>17344</v>
      </c>
      <c r="G35" s="12" t="inlineStr">
        <is>
          <t>[DATA]</t>
        </is>
      </c>
      <c r="H35" s="13" t="inlineStr">
        <is>
          <t>Q2 2026: total debt 22,706 less cash 5,362</t>
        </is>
      </c>
    </row>
    <row r="36">
      <c r="A36" s="3" t="inlineStr">
        <is>
          <t>Diluted shares outstanding (M)</t>
        </is>
      </c>
      <c r="B36" s="18" t="n">
        <v>899.1</v>
      </c>
      <c r="G36" s="12" t="inlineStr">
        <is>
          <t>[DATA]</t>
        </is>
      </c>
      <c r="H36" s="13" t="inlineStr">
        <is>
          <t>Yahoo Finance / stockanalysis.com, Oct 2026 (FY2025 diluted avg: 918.8M)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Historical financials — HOOD</t>
        </is>
      </c>
    </row>
    <row r="2" ht="18" customHeight="1">
      <c r="A2" s="2" t="inlineStr">
        <is>
          <t>$ millions. Source: Yahoo Finance annual statements (filing-derived), as of 2026-10-19.</t>
        </is>
      </c>
    </row>
    <row r="3">
      <c r="A3" s="20" t="inlineStr"/>
      <c r="B3" s="20" t="n">
        <v>2022</v>
      </c>
      <c r="C3" s="20" t="n">
        <v>2023</v>
      </c>
      <c r="D3" s="20" t="n">
        <v>2024</v>
      </c>
      <c r="E3" s="20" t="n">
        <v>2025</v>
      </c>
    </row>
    <row r="4">
      <c r="A4" s="3" t="inlineStr">
        <is>
          <t>Total revenue</t>
        </is>
      </c>
      <c r="B4" s="21" t="n">
        <v>1358</v>
      </c>
      <c r="C4" s="21" t="n">
        <v>1865</v>
      </c>
      <c r="D4" s="21" t="n">
        <v>2951</v>
      </c>
      <c r="E4" s="21" t="n">
        <v>4473</v>
      </c>
    </row>
    <row r="5">
      <c r="A5" s="3" t="inlineStr">
        <is>
          <t>Gross profit</t>
        </is>
      </c>
      <c r="B5" s="21" t="n">
        <v>770</v>
      </c>
      <c r="C5" s="21" t="n">
        <v>1719</v>
      </c>
      <c r="D5" s="21" t="n">
        <v>2344</v>
      </c>
      <c r="E5" s="21" t="n">
        <v>3728</v>
      </c>
    </row>
    <row r="6">
      <c r="A6" s="3" t="inlineStr">
        <is>
          <t>EBITDA</t>
        </is>
      </c>
      <c r="B6" s="21" t="n">
        <v>-905</v>
      </c>
      <c r="C6" s="21" t="n">
        <v>-465</v>
      </c>
      <c r="D6" s="21" t="n">
        <v>1131</v>
      </c>
      <c r="E6" s="21" t="n">
        <v>2180</v>
      </c>
    </row>
    <row r="7">
      <c r="A7" s="3" t="inlineStr">
        <is>
          <t>EBITDA margin</t>
        </is>
      </c>
      <c r="B7" s="16">
        <f>B6/B4</f>
        <v/>
      </c>
      <c r="C7" s="16">
        <f>C6/C4</f>
        <v/>
      </c>
      <c r="D7" s="16">
        <f>D6/D4</f>
        <v/>
      </c>
      <c r="E7" s="16">
        <f>E6/E4</f>
        <v/>
      </c>
    </row>
    <row r="8">
      <c r="A8" s="3" t="inlineStr">
        <is>
          <t>Operating income</t>
        </is>
      </c>
      <c r="B8" s="21" t="n">
        <v>-966</v>
      </c>
      <c r="C8" s="21" t="n">
        <v>-536</v>
      </c>
      <c r="D8" s="21" t="n">
        <v>1054</v>
      </c>
      <c r="E8" s="21" t="n">
        <v>2094</v>
      </c>
    </row>
    <row r="9">
      <c r="A9" s="3" t="inlineStr">
        <is>
          <t>Net income</t>
        </is>
      </c>
      <c r="B9" s="21" t="n">
        <v>-1028</v>
      </c>
      <c r="C9" s="21" t="n">
        <v>-541</v>
      </c>
      <c r="D9" s="21" t="n">
        <v>1411</v>
      </c>
      <c r="E9" s="21" t="n">
        <v>1883</v>
      </c>
    </row>
    <row r="10">
      <c r="A10" s="3" t="inlineStr">
        <is>
          <t>Diluted average shares (M)</t>
        </is>
      </c>
      <c r="B10" s="21" t="n">
        <v>878.6</v>
      </c>
      <c r="C10" s="21" t="n">
        <v>890.9</v>
      </c>
      <c r="D10" s="21" t="n">
        <v>906.2</v>
      </c>
      <c r="E10" s="21" t="n">
        <v>918.8</v>
      </c>
    </row>
    <row r="11">
      <c r="A11" s="3" t="inlineStr">
        <is>
          <t>Operating cash flow</t>
        </is>
      </c>
      <c r="B11" s="21" t="n">
        <v>-852</v>
      </c>
      <c r="C11" s="21" t="n">
        <v>1181</v>
      </c>
      <c r="D11" s="21" t="n">
        <v>-157</v>
      </c>
      <c r="E11" s="21" t="n">
        <v>1638</v>
      </c>
    </row>
    <row r="12">
      <c r="A12" s="3" t="inlineStr">
        <is>
          <t>Capital expenditures</t>
        </is>
      </c>
      <c r="B12" s="21" t="n">
        <v>-57</v>
      </c>
      <c r="C12" s="21" t="n">
        <v>-21</v>
      </c>
      <c r="D12" s="21" t="n">
        <v>-50</v>
      </c>
      <c r="E12" s="21" t="n">
        <v>-54</v>
      </c>
    </row>
    <row r="13">
      <c r="A13" s="3" t="inlineStr">
        <is>
          <t>Free cash flow</t>
        </is>
      </c>
      <c r="B13" s="21" t="n">
        <v>-909</v>
      </c>
      <c r="C13" s="21" t="n">
        <v>1160</v>
      </c>
      <c r="D13" s="21" t="n">
        <v>-207</v>
      </c>
      <c r="E13" s="21" t="n">
        <v>1584</v>
      </c>
    </row>
    <row r="14">
      <c r="A14" s="3" t="inlineStr">
        <is>
          <t>Cash &amp; equivalents</t>
        </is>
      </c>
      <c r="B14" s="21" t="n">
        <v>6339</v>
      </c>
      <c r="C14" s="21" t="n">
        <v>4835</v>
      </c>
      <c r="D14" s="21" t="n">
        <v>4332</v>
      </c>
      <c r="E14" s="21" t="n">
        <v>4261</v>
      </c>
    </row>
    <row r="15">
      <c r="A15" s="3" t="inlineStr">
        <is>
          <t>Total debt</t>
        </is>
      </c>
      <c r="B15" s="21" t="n">
        <v>1834</v>
      </c>
      <c r="C15" s="21" t="n">
        <v>3547</v>
      </c>
      <c r="D15" s="21" t="n">
        <v>7463</v>
      </c>
      <c r="E15" s="21" t="n">
        <v>11626</v>
      </c>
    </row>
    <row r="16">
      <c r="A16" s="3" t="inlineStr">
        <is>
          <t>Revenue growth</t>
        </is>
      </c>
      <c r="B16" s="16" t="n"/>
      <c r="C16" s="16">
        <f>C4/B4-1</f>
        <v/>
      </c>
      <c r="D16" s="16">
        <f>D4/C4-1</f>
        <v/>
      </c>
      <c r="E16" s="16">
        <f>E4/D4-1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Robinhood Markets, Inc. (HOOD) — Discounted cash flow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Historicals!$E$4*(1+Assumptions!B$21)</f>
        <v/>
      </c>
      <c r="C4" s="21">
        <f>B4*(1+Assumptions!C$21)</f>
        <v/>
      </c>
      <c r="D4" s="21">
        <f>C4*(1+Assumptions!D$21)</f>
        <v/>
      </c>
      <c r="E4" s="21">
        <f>D4*(1+Assumptions!E$21)</f>
        <v/>
      </c>
      <c r="F4" s="21">
        <f>E4*(1+Assumptions!F$21)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Assumptions!B$24</f>
        <v/>
      </c>
      <c r="C6" s="16">
        <f>Assumptions!C$24</f>
        <v/>
      </c>
      <c r="D6" s="16">
        <f>Assumptions!D$24</f>
        <v/>
      </c>
      <c r="E6" s="16">
        <f>Assumptions!E$24</f>
        <v/>
      </c>
      <c r="F6" s="16">
        <f>Assumptions!F$24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1/(1+Assumptions!$B$15)^1</f>
        <v/>
      </c>
      <c r="C17" s="22">
        <f>1/(1+Assumptions!$B$15)^2</f>
        <v/>
      </c>
      <c r="D17" s="22">
        <f>1/(1+Assumptions!$B$15)^3</f>
        <v/>
      </c>
      <c r="E17" s="22">
        <f>1/(1+Assumptions!$B$15)^4</f>
        <v/>
      </c>
      <c r="F17" s="22">
        <f>1/(1+Assumptions!$B$15)^5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F16*(1+Assumptions!$B$32)/(Assumptions!$B$15-Assumptions!$B$32)</f>
        <v/>
      </c>
    </row>
    <row r="21">
      <c r="A21" s="3" t="inlineStr">
        <is>
          <t>PV of terminal value</t>
        </is>
      </c>
      <c r="B21" s="21">
        <f>B20/(1+Assumptions!$B$15)^5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Robinhood Markets, Inc. (HOOD) — Discounted cash flow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Historicals!$E$4*(1+Assumptions!B$22)</f>
        <v/>
      </c>
      <c r="C4" s="21">
        <f>B4*(1+Assumptions!C$22)</f>
        <v/>
      </c>
      <c r="D4" s="21">
        <f>C4*(1+Assumptions!D$22)</f>
        <v/>
      </c>
      <c r="E4" s="21">
        <f>D4*(1+Assumptions!E$22)</f>
        <v/>
      </c>
      <c r="F4" s="21">
        <f>E4*(1+Assumptions!F$22)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Assumptions!B$25</f>
        <v/>
      </c>
      <c r="C6" s="16">
        <f>Assumptions!C$25</f>
        <v/>
      </c>
      <c r="D6" s="16">
        <f>Assumptions!D$25</f>
        <v/>
      </c>
      <c r="E6" s="16">
        <f>Assumptions!E$25</f>
        <v/>
      </c>
      <c r="F6" s="16">
        <f>Assumptions!F$25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1/(1+Assumptions!$B$16)^1</f>
        <v/>
      </c>
      <c r="C17" s="22">
        <f>1/(1+Assumptions!$B$16)^2</f>
        <v/>
      </c>
      <c r="D17" s="22">
        <f>1/(1+Assumptions!$B$16)^3</f>
        <v/>
      </c>
      <c r="E17" s="22">
        <f>1/(1+Assumptions!$B$16)^4</f>
        <v/>
      </c>
      <c r="F17" s="22">
        <f>1/(1+Assumptions!$B$16)^5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F16*(1+Assumptions!$B$33)/(Assumptions!$B$16-Assumptions!$B$33)</f>
        <v/>
      </c>
    </row>
    <row r="21">
      <c r="A21" s="3" t="inlineStr">
        <is>
          <t>PV of terminal value</t>
        </is>
      </c>
      <c r="B21" s="21">
        <f>B20/(1+Assumptions!$B$16)^5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Robinhood Markets, Inc. (HOOD) — Discounted cash flow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Historicals!$E$4*(1+Assumptions!B$23)</f>
        <v/>
      </c>
      <c r="C4" s="21">
        <f>B4*(1+Assumptions!C$23)</f>
        <v/>
      </c>
      <c r="D4" s="21">
        <f>C4*(1+Assumptions!D$23)</f>
        <v/>
      </c>
      <c r="E4" s="21">
        <f>D4*(1+Assumptions!E$23)</f>
        <v/>
      </c>
      <c r="F4" s="21">
        <f>E4*(1+Assumptions!F$23)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Assumptions!B$26</f>
        <v/>
      </c>
      <c r="C6" s="16">
        <f>Assumptions!C$26</f>
        <v/>
      </c>
      <c r="D6" s="16">
        <f>Assumptions!D$26</f>
        <v/>
      </c>
      <c r="E6" s="16">
        <f>Assumptions!E$26</f>
        <v/>
      </c>
      <c r="F6" s="16">
        <f>Assumptions!F$26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1/(1+Assumptions!$B$17)^1</f>
        <v/>
      </c>
      <c r="C17" s="22">
        <f>1/(1+Assumptions!$B$17)^2</f>
        <v/>
      </c>
      <c r="D17" s="22">
        <f>1/(1+Assumptions!$B$17)^3</f>
        <v/>
      </c>
      <c r="E17" s="22">
        <f>1/(1+Assumptions!$B$17)^4</f>
        <v/>
      </c>
      <c r="F17" s="22">
        <f>1/(1+Assumptions!$B$17)^5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F16*(1+Assumptions!$B$34)/(Assumptions!$B$17-Assumptions!$B$34)</f>
        <v/>
      </c>
    </row>
    <row r="21">
      <c r="A21" s="3" t="inlineStr">
        <is>
          <t>PV of terminal value</t>
        </is>
      </c>
      <c r="B21" s="21">
        <f>B20/(1+Assumptions!$B$17)^5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4" customHeight="1">
      <c r="A1" s="1" t="inlineStr">
        <is>
          <t>Comparable companies — fintech / brokerage</t>
        </is>
      </c>
    </row>
    <row r="2" ht="18" customHeight="1">
      <c r="A2" s="2" t="inlineStr">
        <is>
          <t>Market data as of 2026-10-19 (Yahoo Finance). $ millions, except price and per-share.</t>
        </is>
      </c>
    </row>
    <row r="3">
      <c r="A3" s="20" t="inlineStr"/>
      <c r="B3" s="20" t="inlineStr">
        <is>
          <t>HOOD</t>
        </is>
      </c>
      <c r="C3" s="20" t="inlineStr">
        <is>
          <t>COIN</t>
        </is>
      </c>
      <c r="D3" s="20" t="inlineStr">
        <is>
          <t>SOFI</t>
        </is>
      </c>
      <c r="E3" s="20" t="inlineStr">
        <is>
          <t>SCHW</t>
        </is>
      </c>
      <c r="F3" s="20" t="inlineStr">
        <is>
          <t>IBKR</t>
        </is>
      </c>
    </row>
    <row r="4">
      <c r="A4" s="3" t="inlineStr">
        <is>
          <t>Price ($)</t>
        </is>
      </c>
      <c r="B4" s="23" t="n">
        <v>98.87</v>
      </c>
      <c r="C4" s="23" t="n">
        <v>173.16</v>
      </c>
      <c r="D4" s="23" t="n">
        <v>14.55</v>
      </c>
      <c r="E4" s="23" t="n">
        <v>91.95999999999999</v>
      </c>
      <c r="F4" s="23" t="n">
        <v>82.69</v>
      </c>
    </row>
    <row r="5">
      <c r="A5" s="3" t="inlineStr">
        <is>
          <t>Market cap ($M)</t>
        </is>
      </c>
      <c r="B5" s="21" t="n">
        <v>88892.3</v>
      </c>
      <c r="C5" s="21" t="n">
        <v>45686</v>
      </c>
      <c r="D5" s="21" t="n">
        <v>18792.3</v>
      </c>
      <c r="E5" s="21" t="n">
        <v>159029.7</v>
      </c>
      <c r="F5" s="21" t="n">
        <v>140888.5</v>
      </c>
    </row>
    <row r="6">
      <c r="A6" s="3" t="inlineStr">
        <is>
          <t>Enterprise value ($M)</t>
        </is>
      </c>
      <c r="B6" s="21" t="n">
        <v>87973.3</v>
      </c>
      <c r="C6" s="21" t="n">
        <v>43565.4</v>
      </c>
      <c r="D6" s="21" t="n">
        <v>18841.2</v>
      </c>
      <c r="E6" s="21" t="n">
        <v>130406.9</v>
      </c>
      <c r="F6" s="21" t="n">
        <v>-40329.1</v>
      </c>
    </row>
    <row r="7">
      <c r="A7" s="3" t="inlineStr">
        <is>
          <t>Revenue, TTM ($M)</t>
        </is>
      </c>
      <c r="B7" s="21" t="n">
        <v>4932</v>
      </c>
      <c r="C7" s="21" t="n">
        <v>6043.8</v>
      </c>
      <c r="D7" s="21" t="n">
        <v>4268.4</v>
      </c>
      <c r="E7" s="21" t="n">
        <v>27061</v>
      </c>
      <c r="F7" s="21" t="n">
        <v>7058</v>
      </c>
    </row>
    <row r="8">
      <c r="A8" s="3" t="inlineStr">
        <is>
          <t>EBITDA, TTM ($M)</t>
        </is>
      </c>
      <c r="B8" s="21" t="n">
        <v>2180</v>
      </c>
      <c r="C8" s="21" t="n">
        <v>699.5</v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  <row r="9">
      <c r="A9" s="3" t="inlineStr">
        <is>
          <t>Forward EPS ($)</t>
        </is>
      </c>
      <c r="B9" s="23" t="n">
        <v>3.43</v>
      </c>
      <c r="C9" s="23" t="n">
        <v>2.99</v>
      </c>
      <c r="D9" s="23" t="n">
        <v>0.82</v>
      </c>
      <c r="E9" s="23" t="n">
        <v>7.85</v>
      </c>
      <c r="F9" s="23" t="n">
        <v>3.31</v>
      </c>
    </row>
    <row r="10">
      <c r="A10" s="3" t="inlineStr">
        <is>
          <t>EV / Revenue</t>
        </is>
      </c>
      <c r="B10" s="24">
        <f>B6/B7</f>
        <v/>
      </c>
      <c r="C10" s="24">
        <f>C6/C7</f>
        <v/>
      </c>
      <c r="D10" s="24">
        <f>D6/D7</f>
        <v/>
      </c>
      <c r="E10" s="24">
        <f>E6/E7</f>
        <v/>
      </c>
      <c r="F10" s="24">
        <f>F6/F7</f>
        <v/>
      </c>
    </row>
    <row r="11">
      <c r="A11" s="3" t="inlineStr">
        <is>
          <t>EV / EBITDA</t>
        </is>
      </c>
      <c r="B11" s="24">
        <f>B6/B8</f>
        <v/>
      </c>
      <c r="C11" s="24">
        <f>C6/C8</f>
        <v/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</row>
    <row r="12">
      <c r="A12" s="3" t="inlineStr">
        <is>
          <t>Trailing P/E</t>
        </is>
      </c>
      <c r="B12" s="24" t="n">
        <v>43.56</v>
      </c>
      <c r="C12" t="inlineStr">
        <is>
          <t>n/a</t>
        </is>
      </c>
      <c r="D12" s="24" t="n">
        <v>29.69</v>
      </c>
      <c r="E12" s="24" t="n">
        <v>15.72</v>
      </c>
      <c r="F12" s="24" t="n">
        <v>31.56</v>
      </c>
    </row>
    <row r="13">
      <c r="A13" s="3" t="inlineStr">
        <is>
          <t>Forward P/E</t>
        </is>
      </c>
      <c r="B13" s="24">
        <f>B4/B9</f>
        <v/>
      </c>
      <c r="C13" s="24">
        <f>C4/C9</f>
        <v/>
      </c>
      <c r="D13" s="24">
        <f>D4/D9</f>
        <v/>
      </c>
      <c r="E13" s="24">
        <f>E4/E9</f>
        <v/>
      </c>
      <c r="F13" s="24">
        <f>F4/F9</f>
        <v/>
      </c>
    </row>
    <row r="15">
      <c r="A15" s="10" t="inlineStr">
        <is>
          <t>HOOD implied valuation from peer multiples</t>
        </is>
      </c>
    </row>
    <row r="16">
      <c r="A16" s="3" t="inlineStr">
        <is>
          <t>Median peer EV / Revenue (excl. IBKR: negative EV)</t>
        </is>
      </c>
      <c r="B16" s="24">
        <f>MEDIAN(C10:E10)</f>
        <v/>
      </c>
    </row>
    <row r="17">
      <c r="A17" s="3" t="inlineStr">
        <is>
          <t>Implied EV ($M)</t>
        </is>
      </c>
      <c r="B17" s="21">
        <f>B16*B7</f>
        <v/>
      </c>
    </row>
    <row r="18">
      <c r="A18" s="3" t="inlineStr">
        <is>
          <t>Less: Net debt ($M)</t>
        </is>
      </c>
      <c r="B18" s="21">
        <f>Assumptions!$B$35</f>
        <v/>
      </c>
    </row>
    <row r="19">
      <c r="A19" s="3" t="inlineStr">
        <is>
          <t>Implied equity ($M)</t>
        </is>
      </c>
      <c r="B19" s="21">
        <f>B17-B18</f>
        <v/>
      </c>
    </row>
    <row r="20">
      <c r="A20" s="7" t="inlineStr">
        <is>
          <t>Implied per share — EV/Revenue ($)</t>
        </is>
      </c>
      <c r="B20" s="23">
        <f>B19/Assumptions!$B$36</f>
        <v/>
      </c>
      <c r="C20" s="25" t="inlineStr">
        <is>
          <t>Not meaningful: HOOD's rate-driven revenue mix breaks EV/Revenue comparability; P/E is the operative broker multiple.</t>
        </is>
      </c>
    </row>
    <row r="22">
      <c r="A22" s="3" t="inlineStr">
        <is>
          <t>Median peer forward P/E</t>
        </is>
      </c>
      <c r="B22" s="24">
        <f>MEDIAN(C13:F13)</f>
        <v/>
      </c>
    </row>
    <row r="23">
      <c r="A23" s="3" t="inlineStr">
        <is>
          <t>HOOD forward EPS ($)</t>
        </is>
      </c>
      <c r="B23" s="23">
        <f>B9</f>
        <v/>
      </c>
    </row>
    <row r="24">
      <c r="A24" s="10" t="inlineStr">
        <is>
          <t>Implied per share — forward P/E ($)</t>
        </is>
      </c>
      <c r="B24" s="23">
        <f>B22*B23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Sensitivity — base-case per-share value ($)</t>
        </is>
      </c>
    </row>
    <row r="2" ht="18" customHeight="1">
      <c r="A2" s="2" t="inlineStr">
        <is>
          <t>Two-way sensitivity to WACC (±150 bps) and terminal growth (±100 bps). Live formulas off DCF_Base.</t>
        </is>
      </c>
    </row>
    <row r="3">
      <c r="A3" s="20" t="inlineStr">
        <is>
          <t>WACC \ g</t>
        </is>
      </c>
      <c r="B3" s="20">
        <f>Assumptions!$B$32-0.010</f>
        <v/>
      </c>
      <c r="C3" s="20">
        <f>Assumptions!$B$32-0.005</f>
        <v/>
      </c>
      <c r="D3" s="20">
        <f>Assumptions!$B$32</f>
        <v/>
      </c>
      <c r="E3" s="20">
        <f>Assumptions!$B$32+0.005</f>
        <v/>
      </c>
      <c r="F3" s="20">
        <f>Assumptions!$B$32+0.010</f>
        <v/>
      </c>
    </row>
    <row r="4">
      <c r="A4" s="26">
        <f>Assumptions!$B$15-0.015</f>
        <v/>
      </c>
      <c r="B4" s="23">
        <f>(((DCF_Base!B16/(1+$A4)^1+DCF_Base!C16/(1+$A4)^2+DCF_Base!D16/(1+$A4)^3+DCF_Base!E16/(1+$A4)^4+DCF_Base!F16/(1+$A4)^5)+((DCF_Base!$F$16*(1+B$3)/($A4-B$3))/(1+$A4)^5)-Assumptions!$B$35)/Assumptions!$B$36</f>
        <v/>
      </c>
      <c r="C4" s="23">
        <f>(((DCF_Base!B16/(1+$A4)^1+DCF_Base!C16/(1+$A4)^2+DCF_Base!D16/(1+$A4)^3+DCF_Base!E16/(1+$A4)^4+DCF_Base!F16/(1+$A4)^5)+((DCF_Base!$F$16*(1+C$3)/($A4-C$3))/(1+$A4)^5)-Assumptions!$B$35)/Assumptions!$B$36</f>
        <v/>
      </c>
      <c r="D4" s="23">
        <f>(((DCF_Base!B16/(1+$A4)^1+DCF_Base!C16/(1+$A4)^2+DCF_Base!D16/(1+$A4)^3+DCF_Base!E16/(1+$A4)^4+DCF_Base!F16/(1+$A4)^5)+((DCF_Base!$F$16*(1+D$3)/($A4-D$3))/(1+$A4)^5)-Assumptions!$B$35)/Assumptions!$B$36</f>
        <v/>
      </c>
      <c r="E4" s="23">
        <f>(((DCF_Base!B16/(1+$A4)^1+DCF_Base!C16/(1+$A4)^2+DCF_Base!D16/(1+$A4)^3+DCF_Base!E16/(1+$A4)^4+DCF_Base!F16/(1+$A4)^5)+((DCF_Base!$F$16*(1+E$3)/($A4-E$3))/(1+$A4)^5)-Assumptions!$B$35)/Assumptions!$B$36</f>
        <v/>
      </c>
      <c r="F4" s="23">
        <f>(((DCF_Base!B16/(1+$A4)^1+DCF_Base!C16/(1+$A4)^2+DCF_Base!D16/(1+$A4)^3+DCF_Base!E16/(1+$A4)^4+DCF_Base!F16/(1+$A4)^5)+((DCF_Base!$F$16*(1+F$3)/($A4-F$3))/(1+$A4)^5)-Assumptions!$B$35)/Assumptions!$B$36</f>
        <v/>
      </c>
    </row>
    <row r="5">
      <c r="A5" s="26">
        <f>Assumptions!$B$15-0.010</f>
        <v/>
      </c>
      <c r="B5" s="23">
        <f>(((DCF_Base!B16/(1+$A5)^1+DCF_Base!C16/(1+$A5)^2+DCF_Base!D16/(1+$A5)^3+DCF_Base!E16/(1+$A5)^4+DCF_Base!F16/(1+$A5)^5)+((DCF_Base!$F$16*(1+B$3)/($A5-B$3))/(1+$A5)^5)-Assumptions!$B$35)/Assumptions!$B$36</f>
        <v/>
      </c>
      <c r="C5" s="23">
        <f>(((DCF_Base!B16/(1+$A5)^1+DCF_Base!C16/(1+$A5)^2+DCF_Base!D16/(1+$A5)^3+DCF_Base!E16/(1+$A5)^4+DCF_Base!F16/(1+$A5)^5)+((DCF_Base!$F$16*(1+C$3)/($A5-C$3))/(1+$A5)^5)-Assumptions!$B$35)/Assumptions!$B$36</f>
        <v/>
      </c>
      <c r="D5" s="23">
        <f>(((DCF_Base!B16/(1+$A5)^1+DCF_Base!C16/(1+$A5)^2+DCF_Base!D16/(1+$A5)^3+DCF_Base!E16/(1+$A5)^4+DCF_Base!F16/(1+$A5)^5)+((DCF_Base!$F$16*(1+D$3)/($A5-D$3))/(1+$A5)^5)-Assumptions!$B$35)/Assumptions!$B$36</f>
        <v/>
      </c>
      <c r="E5" s="23">
        <f>(((DCF_Base!B16/(1+$A5)^1+DCF_Base!C16/(1+$A5)^2+DCF_Base!D16/(1+$A5)^3+DCF_Base!E16/(1+$A5)^4+DCF_Base!F16/(1+$A5)^5)+((DCF_Base!$F$16*(1+E$3)/($A5-E$3))/(1+$A5)^5)-Assumptions!$B$35)/Assumptions!$B$36</f>
        <v/>
      </c>
      <c r="F5" s="23">
        <f>(((DCF_Base!B16/(1+$A5)^1+DCF_Base!C16/(1+$A5)^2+DCF_Base!D16/(1+$A5)^3+DCF_Base!E16/(1+$A5)^4+DCF_Base!F16/(1+$A5)^5)+((DCF_Base!$F$16*(1+F$3)/($A5-F$3))/(1+$A5)^5)-Assumptions!$B$35)/Assumptions!$B$36</f>
        <v/>
      </c>
    </row>
    <row r="6">
      <c r="A6" s="26">
        <f>Assumptions!$B$15-0.005</f>
        <v/>
      </c>
      <c r="B6" s="23">
        <f>(((DCF_Base!B16/(1+$A6)^1+DCF_Base!C16/(1+$A6)^2+DCF_Base!D16/(1+$A6)^3+DCF_Base!E16/(1+$A6)^4+DCF_Base!F16/(1+$A6)^5)+((DCF_Base!$F$16*(1+B$3)/($A6-B$3))/(1+$A6)^5)-Assumptions!$B$35)/Assumptions!$B$36</f>
        <v/>
      </c>
      <c r="C6" s="23">
        <f>(((DCF_Base!B16/(1+$A6)^1+DCF_Base!C16/(1+$A6)^2+DCF_Base!D16/(1+$A6)^3+DCF_Base!E16/(1+$A6)^4+DCF_Base!F16/(1+$A6)^5)+((DCF_Base!$F$16*(1+C$3)/($A6-C$3))/(1+$A6)^5)-Assumptions!$B$35)/Assumptions!$B$36</f>
        <v/>
      </c>
      <c r="D6" s="23">
        <f>(((DCF_Base!B16/(1+$A6)^1+DCF_Base!C16/(1+$A6)^2+DCF_Base!D16/(1+$A6)^3+DCF_Base!E16/(1+$A6)^4+DCF_Base!F16/(1+$A6)^5)+((DCF_Base!$F$16*(1+D$3)/($A6-D$3))/(1+$A6)^5)-Assumptions!$B$35)/Assumptions!$B$36</f>
        <v/>
      </c>
      <c r="E6" s="23">
        <f>(((DCF_Base!B16/(1+$A6)^1+DCF_Base!C16/(1+$A6)^2+DCF_Base!D16/(1+$A6)^3+DCF_Base!E16/(1+$A6)^4+DCF_Base!F16/(1+$A6)^5)+((DCF_Base!$F$16*(1+E$3)/($A6-E$3))/(1+$A6)^5)-Assumptions!$B$35)/Assumptions!$B$36</f>
        <v/>
      </c>
      <c r="F6" s="23">
        <f>(((DCF_Base!B16/(1+$A6)^1+DCF_Base!C16/(1+$A6)^2+DCF_Base!D16/(1+$A6)^3+DCF_Base!E16/(1+$A6)^4+DCF_Base!F16/(1+$A6)^5)+((DCF_Base!$F$16*(1+F$3)/($A6-F$3))/(1+$A6)^5)-Assumptions!$B$35)/Assumptions!$B$36</f>
        <v/>
      </c>
    </row>
    <row r="7">
      <c r="A7" s="26">
        <f>Assumptions!$B$15</f>
        <v/>
      </c>
      <c r="B7" s="23">
        <f>(((DCF_Base!B16/(1+$A7)^1+DCF_Base!C16/(1+$A7)^2+DCF_Base!D16/(1+$A7)^3+DCF_Base!E16/(1+$A7)^4+DCF_Base!F16/(1+$A7)^5)+((DCF_Base!$F$16*(1+B$3)/($A7-B$3))/(1+$A7)^5)-Assumptions!$B$35)/Assumptions!$B$36</f>
        <v/>
      </c>
      <c r="C7" s="23">
        <f>(((DCF_Base!B16/(1+$A7)^1+DCF_Base!C16/(1+$A7)^2+DCF_Base!D16/(1+$A7)^3+DCF_Base!E16/(1+$A7)^4+DCF_Base!F16/(1+$A7)^5)+((DCF_Base!$F$16*(1+C$3)/($A7-C$3))/(1+$A7)^5)-Assumptions!$B$35)/Assumptions!$B$36</f>
        <v/>
      </c>
      <c r="D7" s="27">
        <f>(((DCF_Base!B16/(1+$A7)^1+DCF_Base!C16/(1+$A7)^2+DCF_Base!D16/(1+$A7)^3+DCF_Base!E16/(1+$A7)^4+DCF_Base!F16/(1+$A7)^5)+((DCF_Base!$F$16*(1+D$3)/($A7-D$3))/(1+$A7)^5)-Assumptions!$B$35)/Assumptions!$B$36</f>
        <v/>
      </c>
      <c r="E7" s="23">
        <f>(((DCF_Base!B16/(1+$A7)^1+DCF_Base!C16/(1+$A7)^2+DCF_Base!D16/(1+$A7)^3+DCF_Base!E16/(1+$A7)^4+DCF_Base!F16/(1+$A7)^5)+((DCF_Base!$F$16*(1+E$3)/($A7-E$3))/(1+$A7)^5)-Assumptions!$B$35)/Assumptions!$B$36</f>
        <v/>
      </c>
      <c r="F7" s="23">
        <f>(((DCF_Base!B16/(1+$A7)^1+DCF_Base!C16/(1+$A7)^2+DCF_Base!D16/(1+$A7)^3+DCF_Base!E16/(1+$A7)^4+DCF_Base!F16/(1+$A7)^5)+((DCF_Base!$F$16*(1+F$3)/($A7-F$3))/(1+$A7)^5)-Assumptions!$B$35)/Assumptions!$B$36</f>
        <v/>
      </c>
    </row>
    <row r="8">
      <c r="A8" s="26">
        <f>Assumptions!$B$15+0.005</f>
        <v/>
      </c>
      <c r="B8" s="23">
        <f>(((DCF_Base!B16/(1+$A8)^1+DCF_Base!C16/(1+$A8)^2+DCF_Base!D16/(1+$A8)^3+DCF_Base!E16/(1+$A8)^4+DCF_Base!F16/(1+$A8)^5)+((DCF_Base!$F$16*(1+B$3)/($A8-B$3))/(1+$A8)^5)-Assumptions!$B$35)/Assumptions!$B$36</f>
        <v/>
      </c>
      <c r="C8" s="23">
        <f>(((DCF_Base!B16/(1+$A8)^1+DCF_Base!C16/(1+$A8)^2+DCF_Base!D16/(1+$A8)^3+DCF_Base!E16/(1+$A8)^4+DCF_Base!F16/(1+$A8)^5)+((DCF_Base!$F$16*(1+C$3)/($A8-C$3))/(1+$A8)^5)-Assumptions!$B$35)/Assumptions!$B$36</f>
        <v/>
      </c>
      <c r="D8" s="23">
        <f>(((DCF_Base!B16/(1+$A8)^1+DCF_Base!C16/(1+$A8)^2+DCF_Base!D16/(1+$A8)^3+DCF_Base!E16/(1+$A8)^4+DCF_Base!F16/(1+$A8)^5)+((DCF_Base!$F$16*(1+D$3)/($A8-D$3))/(1+$A8)^5)-Assumptions!$B$35)/Assumptions!$B$36</f>
        <v/>
      </c>
      <c r="E8" s="23">
        <f>(((DCF_Base!B16/(1+$A8)^1+DCF_Base!C16/(1+$A8)^2+DCF_Base!D16/(1+$A8)^3+DCF_Base!E16/(1+$A8)^4+DCF_Base!F16/(1+$A8)^5)+((DCF_Base!$F$16*(1+E$3)/($A8-E$3))/(1+$A8)^5)-Assumptions!$B$35)/Assumptions!$B$36</f>
        <v/>
      </c>
      <c r="F8" s="23">
        <f>(((DCF_Base!B16/(1+$A8)^1+DCF_Base!C16/(1+$A8)^2+DCF_Base!D16/(1+$A8)^3+DCF_Base!E16/(1+$A8)^4+DCF_Base!F16/(1+$A8)^5)+((DCF_Base!$F$16*(1+F$3)/($A8-F$3))/(1+$A8)^5)-Assumptions!$B$35)/Assumptions!$B$36</f>
        <v/>
      </c>
    </row>
    <row r="9">
      <c r="A9" s="26">
        <f>Assumptions!$B$15+0.010</f>
        <v/>
      </c>
      <c r="B9" s="23">
        <f>(((DCF_Base!B16/(1+$A9)^1+DCF_Base!C16/(1+$A9)^2+DCF_Base!D16/(1+$A9)^3+DCF_Base!E16/(1+$A9)^4+DCF_Base!F16/(1+$A9)^5)+((DCF_Base!$F$16*(1+B$3)/($A9-B$3))/(1+$A9)^5)-Assumptions!$B$35)/Assumptions!$B$36</f>
        <v/>
      </c>
      <c r="C9" s="23">
        <f>(((DCF_Base!B16/(1+$A9)^1+DCF_Base!C16/(1+$A9)^2+DCF_Base!D16/(1+$A9)^3+DCF_Base!E16/(1+$A9)^4+DCF_Base!F16/(1+$A9)^5)+((DCF_Base!$F$16*(1+C$3)/($A9-C$3))/(1+$A9)^5)-Assumptions!$B$35)/Assumptions!$B$36</f>
        <v/>
      </c>
      <c r="D9" s="23">
        <f>(((DCF_Base!B16/(1+$A9)^1+DCF_Base!C16/(1+$A9)^2+DCF_Base!D16/(1+$A9)^3+DCF_Base!E16/(1+$A9)^4+DCF_Base!F16/(1+$A9)^5)+((DCF_Base!$F$16*(1+D$3)/($A9-D$3))/(1+$A9)^5)-Assumptions!$B$35)/Assumptions!$B$36</f>
        <v/>
      </c>
      <c r="E9" s="23">
        <f>(((DCF_Base!B16/(1+$A9)^1+DCF_Base!C16/(1+$A9)^2+DCF_Base!D16/(1+$A9)^3+DCF_Base!E16/(1+$A9)^4+DCF_Base!F16/(1+$A9)^5)+((DCF_Base!$F$16*(1+E$3)/($A9-E$3))/(1+$A9)^5)-Assumptions!$B$35)/Assumptions!$B$36</f>
        <v/>
      </c>
      <c r="F9" s="23">
        <f>(((DCF_Base!B16/(1+$A9)^1+DCF_Base!C16/(1+$A9)^2+DCF_Base!D16/(1+$A9)^3+DCF_Base!E16/(1+$A9)^4+DCF_Base!F16/(1+$A9)^5)+((DCF_Base!$F$16*(1+F$3)/($A9-F$3))/(1+$A9)^5)-Assumptions!$B$35)/Assumptions!$B$36</f>
        <v/>
      </c>
    </row>
    <row r="10">
      <c r="A10" s="26">
        <f>Assumptions!$B$15+0.015</f>
        <v/>
      </c>
      <c r="B10" s="23">
        <f>(((DCF_Base!B16/(1+$A10)^1+DCF_Base!C16/(1+$A10)^2+DCF_Base!D16/(1+$A10)^3+DCF_Base!E16/(1+$A10)^4+DCF_Base!F16/(1+$A10)^5)+((DCF_Base!$F$16*(1+B$3)/($A10-B$3))/(1+$A10)^5)-Assumptions!$B$35)/Assumptions!$B$36</f>
        <v/>
      </c>
      <c r="C10" s="23">
        <f>(((DCF_Base!B16/(1+$A10)^1+DCF_Base!C16/(1+$A10)^2+DCF_Base!D16/(1+$A10)^3+DCF_Base!E16/(1+$A10)^4+DCF_Base!F16/(1+$A10)^5)+((DCF_Base!$F$16*(1+C$3)/($A10-C$3))/(1+$A10)^5)-Assumptions!$B$35)/Assumptions!$B$36</f>
        <v/>
      </c>
      <c r="D10" s="23">
        <f>(((DCF_Base!B16/(1+$A10)^1+DCF_Base!C16/(1+$A10)^2+DCF_Base!D16/(1+$A10)^3+DCF_Base!E16/(1+$A10)^4+DCF_Base!F16/(1+$A10)^5)+((DCF_Base!$F$16*(1+D$3)/($A10-D$3))/(1+$A10)^5)-Assumptions!$B$35)/Assumptions!$B$36</f>
        <v/>
      </c>
      <c r="E10" s="23">
        <f>(((DCF_Base!B16/(1+$A10)^1+DCF_Base!C16/(1+$A10)^2+DCF_Base!D16/(1+$A10)^3+DCF_Base!E16/(1+$A10)^4+DCF_Base!F16/(1+$A10)^5)+((DCF_Base!$F$16*(1+E$3)/($A10-E$3))/(1+$A10)^5)-Assumptions!$B$35)/Assumptions!$B$36</f>
        <v/>
      </c>
      <c r="F10" s="23">
        <f>(((DCF_Base!B16/(1+$A10)^1+DCF_Base!C16/(1+$A10)^2+DCF_Base!D16/(1+$A10)^3+DCF_Base!E16/(1+$A10)^4+DCF_Base!F16/(1+$A10)^5)+((DCF_Base!$F$16*(1+F$3)/($A10-F$3))/(1+$A10)^5)-Assumptions!$B$35)/Assumptions!$B$36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0" t="inlineStr">
        <is>
          <t>Check</t>
        </is>
      </c>
      <c r="B3" s="20" t="inlineStr">
        <is>
          <t>Detail</t>
        </is>
      </c>
      <c r="C3" s="20" t="inlineStr">
        <is>
          <t>Status</t>
        </is>
      </c>
      <c r="D3" s="20" t="n"/>
    </row>
    <row r="4" ht="30" customHeight="1">
      <c r="A4" s="28" t="inlineStr">
        <is>
          <t>Net income ties across statements</t>
        </is>
      </c>
      <c r="B4" s="8" t="inlineStr">
        <is>
          <t>Income-statement net income = cash-flow-statement starting net income for FY2022–2025 (max diff $0.0M)</t>
        </is>
      </c>
      <c r="C4" s="29" t="inlineStr">
        <is>
          <t>PASS</t>
        </is>
      </c>
    </row>
    <row r="5" ht="30" customHeight="1">
      <c r="A5" s="28" t="inlineStr">
        <is>
          <t>Revenue sourced from filings</t>
        </is>
      </c>
      <c r="B5" s="8" t="inlineStr">
        <is>
          <t>FY2022–2025 total revenue 1,358.0 / 1,865.0 / 2,951.0 / 4,473.0 ($M) from Yahoo Finance annual income statement; FY2021 column blank in source — excluded</t>
        </is>
      </c>
      <c r="C5" s="29" t="inlineStr">
        <is>
          <t>PASS</t>
        </is>
      </c>
    </row>
    <row r="6" ht="30" customHeight="1">
      <c r="A6" s="28" t="inlineStr">
        <is>
          <t>Share count</t>
        </is>
      </c>
      <c r="B6" s="8" t="inlineStr">
        <is>
          <t>899.1M outstanding (Yahoo Finance / stockanalysis.com, Oct 2026); FY2025 diluted weighted avg 918.8M (10-K via Yahoo). Used 899.1M; delta &lt;3%</t>
        </is>
      </c>
      <c r="C6" s="29" t="inlineStr">
        <is>
          <t>PASS</t>
        </is>
      </c>
    </row>
    <row r="7" ht="30" customHeight="1">
      <c r="A7" s="28" t="inlineStr">
        <is>
          <t>Net debt bridge</t>
        </is>
      </c>
      <c r="B7" s="8" t="inlineStr">
        <is>
          <t>Q2 2026 balance sheet: total debt $22,706.0M less cash &amp; equivalents $5,362.0M = net debt $17,344.0M</t>
        </is>
      </c>
      <c r="C7" s="29" t="inlineStr">
        <is>
          <t>PASS</t>
        </is>
      </c>
    </row>
    <row r="8" ht="30" customHeight="1">
      <c r="A8" s="28" t="inlineStr">
        <is>
          <t>Beta</t>
        </is>
      </c>
      <c r="B8" s="8" t="inlineStr">
        <is>
          <t>2.35 (Yahoo Finance, 2026-10-19); cross-checked 2.35 (MarketBeat, stockanalysis.com), 2.48 (Finnhub)</t>
        </is>
      </c>
      <c r="C8" s="29" t="inlineStr">
        <is>
          <t>PASS</t>
        </is>
      </c>
    </row>
    <row r="9" ht="30" customHeight="1">
      <c r="A9" s="28" t="inlineStr">
        <is>
          <t>Risk-free rate</t>
        </is>
      </c>
      <c r="B9" s="8" t="inlineStr">
        <is>
          <t>US 10Y 5.085% on 2026-10-19 (Reuters); Gate Ventures recap 5.09%; CoinDesk/CoinEdition ~5.10%. Used 5.1%</t>
        </is>
      </c>
      <c r="C9" s="29" t="inlineStr">
        <is>
          <t>PASS</t>
        </is>
      </c>
    </row>
    <row r="10" ht="30" customHeight="1">
      <c r="A10" s="28" t="inlineStr">
        <is>
          <t>Comps market data as-of</t>
        </is>
      </c>
      <c r="B10" s="8" t="inlineStr">
        <is>
          <t>COIN / SOFI / SCHW / IBKR prices and financials pulled 2026-10-19 via Yahoo Finance (Oct 16 closes)</t>
        </is>
      </c>
      <c r="C10" s="29" t="inlineStr">
        <is>
          <t>PASS</t>
        </is>
      </c>
    </row>
    <row r="11" ht="30" customHeight="1">
      <c r="A11" s="28" t="inlineStr">
        <is>
          <t>FCF bridge reconciles</t>
        </is>
      </c>
      <c r="B11" s="8" t="inlineStr">
        <is>
          <t>Formula check: EV = sum of PV of FCF + PV of terminal value</t>
        </is>
      </c>
      <c r="C11" s="29">
        <f>IF(ABS(DCF_Base!B22-(DCF_Base!B19+DCF_Base!B21))&lt;0.5,"PASS","FAIL")</f>
        <v/>
      </c>
    </row>
    <row r="12" ht="30" customHeight="1">
      <c r="A12" s="28" t="inlineStr">
        <is>
          <t>Per-share arithmetic</t>
        </is>
      </c>
      <c r="B12" s="8" t="inlineStr">
        <is>
          <t>Formula check: per-share = equity value / shares</t>
        </is>
      </c>
      <c r="C12" s="29">
        <f>IF(ABS(DCF_Base!B26-DCF_Base!B24/DCF_Base!B25)&lt;0.01,"PASS","FAIL")</f>
        <v/>
      </c>
    </row>
    <row r="13" ht="30" customHeight="1">
      <c r="A13" s="28" t="inlineStr">
        <is>
          <t>Sensitivity centers on base case</t>
        </is>
      </c>
      <c r="B13" s="8" t="inlineStr">
        <is>
          <t>Formula check: center cell of Sensitivity = DCF_Base per-share</t>
        </is>
      </c>
      <c r="C13" s="29">
        <f>IF(ABS(D7-DCF_Base!B26)&lt;0.05,"PASS","FAIL")</f>
        <v/>
      </c>
    </row>
    <row r="14" ht="30" customHeight="1">
      <c r="A14" s="28" t="inlineStr">
        <is>
          <t>DCF vs market gap is explainable</t>
        </is>
      </c>
      <c r="B14" s="8" t="inlineStr">
        <is>
          <t>Base per-share trails $98.87 because a 13.4% WACC (beta 2.35 × 5.1% risk-free) discounts high-teens growth hard; the market price implies ~40% 5-yr CAGR or a ~10% WACC (aggressive rate-cut pricing)</t>
        </is>
      </c>
      <c r="C14" s="29" t="inlineStr">
        <is>
          <t>PASS</t>
        </is>
      </c>
    </row>
    <row r="15" ht="30" customHeight="1">
      <c r="A15" s="28" t="inlineStr">
        <is>
          <t>Tax normalization</t>
        </is>
      </c>
      <c r="B15" s="8" t="inlineStr">
        <is>
          <t>2024 tax provision was –$347M (benefit); model uses 21% statutory forward rate — flagged as judgment on Assumptions</t>
        </is>
      </c>
      <c r="C15" s="29" t="inlineStr">
        <is>
          <t>PASS</t>
        </is>
      </c>
    </row>
    <row r="16" ht="30" customHeight="1">
      <c r="A16" s="28" t="inlineStr">
        <is>
          <t>IBKR excluded from EV comps</t>
        </is>
      </c>
      <c r="B16" s="8" t="inlineStr">
        <is>
          <t>Negative enterprise value (–$40.3B) breaks the multiple; median EV/Revenue uses COIN/SOFI/SCHW only</t>
        </is>
      </c>
      <c r="C16" s="29" t="inlineStr">
        <is>
          <t>PASS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0" t="inlineStr">
        <is>
          <t>#</t>
        </is>
      </c>
      <c r="B3" s="20" t="inlineStr">
        <is>
          <t>Source</t>
        </is>
      </c>
      <c r="C3" s="20" t="inlineStr">
        <is>
          <t>URL</t>
        </is>
      </c>
      <c r="D3" s="20" t="inlineStr">
        <is>
          <t>Accessed</t>
        </is>
      </c>
      <c r="E3" s="20" t="inlineStr">
        <is>
          <t>Used for</t>
        </is>
      </c>
    </row>
    <row r="4" ht="28" customHeight="1">
      <c r="A4" s="30" t="n">
        <v>1</v>
      </c>
      <c r="B4" s="8" t="inlineStr">
        <is>
          <t>Yahoo Finance — HOOD quote &amp; financials</t>
        </is>
      </c>
      <c r="C4" s="31" t="inlineStr">
        <is>
          <t>https://finance.yahoo.com/quote/HOOD</t>
        </is>
      </c>
      <c r="D4" s="30" t="inlineStr">
        <is>
          <t>2026-10-19</t>
        </is>
      </c>
      <c r="E4" s="8" t="inlineStr">
        <is>
          <t>Price, beta, shares, annual/quarterly statements</t>
        </is>
      </c>
    </row>
    <row r="5" ht="28" customHeight="1">
      <c r="A5" s="30" t="n">
        <v>2</v>
      </c>
      <c r="B5" s="8" t="inlineStr">
        <is>
          <t>Yahoo Finance — COIN</t>
        </is>
      </c>
      <c r="C5" s="31" t="inlineStr">
        <is>
          <t>https://finance.yahoo.com/quote/COIN</t>
        </is>
      </c>
      <c r="D5" s="30" t="inlineStr">
        <is>
          <t>2026-10-19</t>
        </is>
      </c>
      <c r="E5" s="8" t="inlineStr">
        <is>
          <t>Comps market data</t>
        </is>
      </c>
    </row>
    <row r="6" ht="28" customHeight="1">
      <c r="A6" s="30" t="n">
        <v>3</v>
      </c>
      <c r="B6" s="8" t="inlineStr">
        <is>
          <t>Yahoo Finance — SOFI</t>
        </is>
      </c>
      <c r="C6" s="31" t="inlineStr">
        <is>
          <t>https://finance.yahoo.com/quote/SOFI</t>
        </is>
      </c>
      <c r="D6" s="30" t="inlineStr">
        <is>
          <t>2026-10-19</t>
        </is>
      </c>
      <c r="E6" s="8" t="inlineStr">
        <is>
          <t>Comps market data</t>
        </is>
      </c>
    </row>
    <row r="7" ht="28" customHeight="1">
      <c r="A7" s="30" t="n">
        <v>4</v>
      </c>
      <c r="B7" s="8" t="inlineStr">
        <is>
          <t>Yahoo Finance — SCHW</t>
        </is>
      </c>
      <c r="C7" s="31" t="inlineStr">
        <is>
          <t>https://finance.yahoo.com/quote/SCHW</t>
        </is>
      </c>
      <c r="D7" s="30" t="inlineStr">
        <is>
          <t>2026-10-19</t>
        </is>
      </c>
      <c r="E7" s="8" t="inlineStr">
        <is>
          <t>Comps market data</t>
        </is>
      </c>
    </row>
    <row r="8" ht="28" customHeight="1">
      <c r="A8" s="30" t="n">
        <v>5</v>
      </c>
      <c r="B8" s="8" t="inlineStr">
        <is>
          <t>Yahoo Finance — IBKR</t>
        </is>
      </c>
      <c r="C8" s="31" t="inlineStr">
        <is>
          <t>https://finance.yahoo.com/quote/IBKR</t>
        </is>
      </c>
      <c r="D8" s="30" t="inlineStr">
        <is>
          <t>2026-10-19</t>
        </is>
      </c>
      <c r="E8" s="8" t="inlineStr">
        <is>
          <t>Comps market data</t>
        </is>
      </c>
    </row>
    <row r="9" ht="28" customHeight="1">
      <c r="A9" s="30" t="n">
        <v>6</v>
      </c>
      <c r="B9" s="8" t="inlineStr">
        <is>
          <t>Reuters — 10Y yield 5.085% on Oct 19, 2026</t>
        </is>
      </c>
      <c r="C9" s="31" t="inlineStr">
        <is>
          <t>https://www.reuters.com/business/wall-st-futures-climb-ai-stocks-rebound-oil-yields-fall-2026-10-19/</t>
        </is>
      </c>
      <c r="D9" s="30" t="inlineStr">
        <is>
          <t>2026-10-19</t>
        </is>
      </c>
      <c r="E9" s="8" t="inlineStr">
        <is>
          <t>Risk-free rate</t>
        </is>
      </c>
    </row>
    <row r="10" ht="28" customHeight="1">
      <c r="A10" s="30" t="n">
        <v>7</v>
      </c>
      <c r="B10" s="8" t="inlineStr">
        <is>
          <t>stockanalysis.com — HOOD overview</t>
        </is>
      </c>
      <c r="C10" s="31" t="inlineStr">
        <is>
          <t>https://StockAnalysis.com/stocks/hood/</t>
        </is>
      </c>
      <c r="D10" s="30" t="inlineStr">
        <is>
          <t>2026-10-19</t>
        </is>
      </c>
      <c r="E10" s="8" t="inlineStr">
        <is>
          <t>Shares outstanding cross-check (899.08M)</t>
        </is>
      </c>
    </row>
    <row r="11" ht="28" customHeight="1">
      <c r="A11" s="30" t="n">
        <v>8</v>
      </c>
      <c r="B11" s="8" t="inlineStr">
        <is>
          <t>MarketBeat — HOOD</t>
        </is>
      </c>
      <c r="C11" s="31" t="inlineStr">
        <is>
          <t>https://www.marketbeat.com/stocks/NASDAQ/HOOD/</t>
        </is>
      </c>
      <c r="D11" s="30" t="inlineStr">
        <is>
          <t>2026-10-19</t>
        </is>
      </c>
      <c r="E11" s="8" t="inlineStr">
        <is>
          <t>Beta (2.35) and shares cross-check</t>
        </is>
      </c>
    </row>
    <row r="12" ht="28" customHeight="1">
      <c r="A12" s="30" t="n">
        <v>9</v>
      </c>
      <c r="B12" s="8" t="inlineStr">
        <is>
          <t>Finnhub — HOOD</t>
        </is>
      </c>
      <c r="C12" s="31" t="inlineStr">
        <is>
          <t>https://finnhub.io/?q=%22HOOD%22</t>
        </is>
      </c>
      <c r="D12" s="30" t="inlineStr">
        <is>
          <t>2026-10-19</t>
        </is>
      </c>
      <c r="E12" s="8" t="inlineStr">
        <is>
          <t>Beta cross-check (2.48)</t>
        </is>
      </c>
    </row>
    <row r="13" ht="28" customHeight="1">
      <c r="A13" s="30" t="n">
        <v>10</v>
      </c>
      <c r="B13" s="8" t="inlineStr">
        <is>
          <t>TipRanks — HOOD statistics</t>
        </is>
      </c>
      <c r="C13" s="31" t="inlineStr">
        <is>
          <t>https://www.tipranks.com/stocks/hood/statistics</t>
        </is>
      </c>
      <c r="D13" s="30" t="inlineStr">
        <is>
          <t>2026-10-19</t>
        </is>
      </c>
      <c r="E13" s="8" t="inlineStr">
        <is>
          <t>Cash/debt cross-check; street growth-forecast context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2026-10-19T13:04:12+00:00Z</dcterms:created>
  <dcterms:modified xmlns:dcterms="http://purl.org/dc/terms/" xmlns:xsi="http://www.w3.org/2001/XMLSchema-instance" xsi:type="dcterms:W3CDTF">2026-10-19T13:04:12+00:00Z</dcterms:modified>
</cp:coreProperties>
</file>