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1F4E78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11" fillId="5" borderId="0" applyAlignment="1" pivotButton="0" quotePrefix="0" xfId="0">
      <alignment horizontal="center" vertical="center" wrapText="1"/>
    </xf>
    <xf numFmtId="164" fontId="0" fillId="6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finance.yahoo.com/quote/SCHW" TargetMode="External" Id="rId1"/><Relationship Type="http://schemas.openxmlformats.org/officeDocument/2006/relationships/hyperlink" Target="https://finance.yahoo.com/quote/HOOD" TargetMode="External" Id="rId2"/><Relationship Type="http://schemas.openxmlformats.org/officeDocument/2006/relationships/hyperlink" Target="https://finance.yahoo.com/quote/COIN" TargetMode="External" Id="rId3"/><Relationship Type="http://schemas.openxmlformats.org/officeDocument/2006/relationships/hyperlink" Target="https://finance.yahoo.com/quote/SOFI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www.marketbeat.com/stocks/NYSE/SCHW/" TargetMode="External" Id="rId6"/><Relationship Type="http://schemas.openxmlformats.org/officeDocument/2006/relationships/hyperlink" Target="https://finnhub.io/?q=%22SCHW%22" TargetMode="External" Id="rId7"/><Relationship Type="http://schemas.openxmlformats.org/officeDocument/2006/relationships/hyperlink" Target="https://www.americanbankingnews.com/2026/10/18/citizens-jmp-reaffirms-market-outperform-rating-for-charles-schwab-nyseschw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— The Charles Schwab Corporation (NYSE: SCHW)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91.95999999999999</v>
      </c>
    </row>
    <row r="5">
      <c r="A5" s="3" t="inlineStr">
        <is>
          <t>Recommendation</t>
        </is>
      </c>
      <c r="B5" s="5" t="inlineStr">
        <is>
          <t>BUY</t>
        </is>
      </c>
    </row>
    <row r="6">
      <c r="A6" s="3" t="inlineStr">
        <is>
          <t>One-line thesis</t>
        </is>
      </c>
      <c r="B6" s="6" t="inlineStr">
        <is>
          <t>A best-in-class brokerage compounder at 15.7x trailing earnings: a 7.8% WACC against durable 48% pretax margins supports a base value ~75% above the quote — with the rate-cut bear case as the honest risk.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HOOD, COIN, SOFI, SCHW multiples and implied ranges</t>
        </is>
      </c>
    </row>
    <row r="13">
      <c r="A13" s="7" t="inlineStr">
        <is>
          <t>Sensitivity</t>
        </is>
      </c>
      <c r="B13" s="8" t="inlineStr">
        <is>
          <t>Base-case per-share value vs WACC and terminal growth</t>
        </is>
      </c>
    </row>
    <row r="14">
      <c r="A14" s="7" t="inlineStr">
        <is>
          <t>Checks</t>
        </is>
      </c>
      <c r="B14" s="8" t="inlineStr">
        <is>
          <t>Verification appendix: tie-outs and data sources</t>
        </is>
      </c>
    </row>
    <row r="15">
      <c r="A15" s="7" t="inlineStr">
        <is>
          <t>Sources</t>
        </is>
      </c>
      <c r="B15" s="8" t="inlineStr">
        <is>
          <t>Full URLs and access dates</t>
        </is>
      </c>
    </row>
    <row r="17">
      <c r="A17" s="9" t="inlineStr">
        <is>
          <t>Disclaimer: Independent project for skill demonstration; not investment advice.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5.1% on 2026-10-19 (verified for the sector project)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(SCHW)</t>
        </is>
      </c>
      <c r="B6" s="15" t="n">
        <v>0.78</v>
      </c>
      <c r="C6" s="12" t="inlineStr">
        <is>
          <t>[DATA]</t>
        </is>
      </c>
      <c r="D6" s="13" t="inlineStr">
        <is>
          <t>Yahoo Finance 2026-10-19; cross-checked 0.79 (MarketBeat), 0.75 (Finnhub)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Investment-grade broker through-cycle new-issue estimate</t>
        </is>
      </c>
    </row>
    <row r="9">
      <c r="A9" s="3" t="inlineStr">
        <is>
          <t>Marginal tax rate</t>
        </is>
      </c>
      <c r="B9" s="11" t="n">
        <v>0.22</v>
      </c>
      <c r="C9" s="14" t="inlineStr">
        <is>
          <t>[JUDGMENT]</t>
        </is>
      </c>
      <c r="D9" s="13" t="inlineStr">
        <is>
          <t>2022–25 effective 21–24%, above statutory on state taxes; 22% used forward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159026.5</v>
      </c>
      <c r="C11" s="12" t="inlineStr">
        <is>
          <t>[DATA]</t>
        </is>
      </c>
      <c r="D11" s="13" t="inlineStr">
        <is>
          <t>Yahoo Finance / MarketBeat 2026-10-19: $91.96 × 1729.3M shares (per-share basis)</t>
        </is>
      </c>
    </row>
    <row r="12">
      <c r="A12" s="3" t="inlineStr">
        <is>
          <t>Book value of debt ($M)</t>
        </is>
      </c>
      <c r="B12" s="18" t="n">
        <v>37345</v>
      </c>
      <c r="C12" s="12" t="inlineStr">
        <is>
          <t>[DATA]</t>
        </is>
      </c>
      <c r="D12" s="13" t="inlineStr">
        <is>
          <t>Q2 2026 balance sheet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0.12</v>
      </c>
      <c r="C21" s="11" t="n">
        <v>0.09</v>
      </c>
      <c r="D21" s="11" t="n">
        <v>0.07000000000000001</v>
      </c>
      <c r="E21" s="11" t="n">
        <v>0.05</v>
      </c>
      <c r="F21" s="11" t="n">
        <v>0.04</v>
      </c>
      <c r="G21" s="14" t="inlineStr">
        <is>
          <t>[JUDGMENT]</t>
        </is>
      </c>
      <c r="H21" s="13" t="inlineStr">
        <is>
          <t>Tapering from 22.0% (2025); NII plus asset-management fees; the rate regime is the swing factor; 5-yr CAGR ~7.4%</t>
        </is>
      </c>
    </row>
    <row r="22">
      <c r="A22" s="3" t="inlineStr">
        <is>
          <t>Revenue growth — bull</t>
        </is>
      </c>
      <c r="B22" s="11" t="n">
        <v>0.16</v>
      </c>
      <c r="C22" s="11" t="n">
        <v>0.12</v>
      </c>
      <c r="D22" s="11" t="n">
        <v>0.1</v>
      </c>
      <c r="E22" s="11" t="n">
        <v>0.08</v>
      </c>
      <c r="F22" s="11" t="n">
        <v>0.06</v>
      </c>
      <c r="G22" s="14" t="inlineStr">
        <is>
          <t>[JUDGMENT]</t>
        </is>
      </c>
      <c r="H22" s="13" t="inlineStr">
        <is>
          <t>Higher-for-longer: net interest income expands as cash sorting ends</t>
        </is>
      </c>
    </row>
    <row r="23">
      <c r="A23" s="3" t="inlineStr">
        <is>
          <t>Revenue growth — bear</t>
        </is>
      </c>
      <c r="B23" s="11" t="n">
        <v>-0.08</v>
      </c>
      <c r="C23" s="11" t="n">
        <v>0.01</v>
      </c>
      <c r="D23" s="11" t="n">
        <v>0.04</v>
      </c>
      <c r="E23" s="11" t="n">
        <v>0.05</v>
      </c>
      <c r="F23" s="11" t="n">
        <v>0.04</v>
      </c>
      <c r="G23" s="14" t="inlineStr">
        <is>
          <t>[JUDGMENT]</t>
        </is>
      </c>
      <c r="H23" s="13" t="inlineStr">
        <is>
          <t>Fed easing compresses net interest income (~49% of revenue); 2026 revenue declines 8%</t>
        </is>
      </c>
    </row>
    <row r="24">
      <c r="A24" s="3" t="inlineStr">
        <is>
          <t>Op. margin (pretax+D&amp;A) — base</t>
        </is>
      </c>
      <c r="B24" s="11" t="n">
        <v>0.54</v>
      </c>
      <c r="C24" s="11" t="n">
        <v>0.55</v>
      </c>
      <c r="D24" s="11" t="n">
        <v>0.5600000000000001</v>
      </c>
      <c r="E24" s="11" t="n">
        <v>0.5600000000000001</v>
      </c>
      <c r="F24" s="11" t="n">
        <v>0.57</v>
      </c>
      <c r="G24" s="14" t="inlineStr">
        <is>
          <t>[JUDGMENT]</t>
        </is>
      </c>
      <c r="H24" s="13" t="inlineStr">
        <is>
          <t>2025: 53.6% (pretax+D&amp;A); scale toward mature-broker margin</t>
        </is>
      </c>
    </row>
    <row r="25">
      <c r="A25" s="3" t="inlineStr">
        <is>
          <t>Op. margin (pretax+D&amp;A) — bull</t>
        </is>
      </c>
      <c r="B25" s="11" t="n">
        <v>0.55</v>
      </c>
      <c r="C25" s="11" t="n">
        <v>0.5600000000000001</v>
      </c>
      <c r="D25" s="11" t="n">
        <v>0.57</v>
      </c>
      <c r="E25" s="11" t="n">
        <v>0.58</v>
      </c>
      <c r="F25" s="11" t="n">
        <v>0.59</v>
      </c>
      <c r="G25" s="14" t="inlineStr">
        <is>
          <t>[JUDGMENT]</t>
        </is>
      </c>
      <c r="H25" s="13" t="inlineStr">
        <is>
          <t>Net-interest-income operating leverage</t>
        </is>
      </c>
    </row>
    <row r="26">
      <c r="A26" s="3" t="inlineStr">
        <is>
          <t>Op. margin (pretax+D&amp;A) — bear</t>
        </is>
      </c>
      <c r="B26" s="11" t="n">
        <v>0.46</v>
      </c>
      <c r="C26" s="11" t="n">
        <v>0.47</v>
      </c>
      <c r="D26" s="11" t="n">
        <v>0.48</v>
      </c>
      <c r="E26" s="11" t="n">
        <v>0.49</v>
      </c>
      <c r="F26" s="11" t="n">
        <v>0.5</v>
      </c>
      <c r="G26" s="14" t="inlineStr">
        <is>
          <t>[JUDGMENT]</t>
        </is>
      </c>
      <c r="H26" s="13" t="inlineStr">
        <is>
          <t>Revenue deleverage as rate cuts compress NII</t>
        </is>
      </c>
    </row>
    <row r="28">
      <c r="A28" s="3" t="inlineStr">
        <is>
          <t>D&amp;A (% of revenue)</t>
        </is>
      </c>
      <c r="B28" s="11" t="n">
        <v>0.055</v>
      </c>
      <c r="G28" s="14" t="inlineStr">
        <is>
          <t>[JUDGMENT]</t>
        </is>
      </c>
      <c r="H28" s="13" t="inlineStr">
        <is>
          <t>2025: 5.7%</t>
        </is>
      </c>
    </row>
    <row r="29">
      <c r="A29" s="3" t="inlineStr">
        <is>
          <t>Stock-based comp. (% of revenue)</t>
        </is>
      </c>
      <c r="B29" s="11" t="n">
        <v>0.013</v>
      </c>
      <c r="C29" s="11" t="n">
        <v>0.012</v>
      </c>
      <c r="D29" s="11" t="n">
        <v>0.012</v>
      </c>
      <c r="E29" s="11" t="n">
        <v>0.011</v>
      </c>
      <c r="F29" s="11" t="n">
        <v>0.011</v>
      </c>
      <c r="G29" s="14" t="inlineStr">
        <is>
          <t>[JUDGMENT]</t>
        </is>
      </c>
      <c r="H29" s="13" t="inlineStr">
        <is>
          <t>2025: 1.3%</t>
        </is>
      </c>
    </row>
    <row r="30">
      <c r="A30" s="3" t="inlineStr">
        <is>
          <t>Capex (% of revenue)</t>
        </is>
      </c>
      <c r="B30" s="11" t="n">
        <v>0.02</v>
      </c>
      <c r="G30" s="14" t="inlineStr">
        <is>
          <t>[JUDGMENT]</t>
        </is>
      </c>
      <c r="H30" s="13" t="inlineStr">
        <is>
          <t>2025: 2.3%</t>
        </is>
      </c>
    </row>
    <row r="31">
      <c r="A31" s="3" t="inlineStr">
        <is>
          <t>Balance-sheet reinvestment (% of revenue growth)</t>
        </is>
      </c>
      <c r="B31" s="11" t="n">
        <v>0.15</v>
      </c>
      <c r="G31" s="14" t="inlineStr">
        <is>
          <t>[JUDGMENT]</t>
        </is>
      </c>
      <c r="H31" s="13" t="inlineStr">
        <is>
          <t>Deposits fund the balance sheet (operating liabilities); the equity slice retained to support growth is a fraction of revenue growth; lower than a high-growth bank given maturity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1" t="n">
        <v>-3235</v>
      </c>
      <c r="G35" s="12" t="inlineStr">
        <is>
          <t>[DATA]</t>
        </is>
      </c>
      <c r="H35" s="13" t="inlineStr">
        <is>
          <t>Q2 2026: total debt 37,345 less cash &amp; equivalents 40,580 (corporate borrowings; client deposits are operating liabilities)</t>
        </is>
      </c>
    </row>
    <row r="36">
      <c r="A36" s="3" t="inlineStr">
        <is>
          <t>Diluted shares outstanding (M)</t>
        </is>
      </c>
      <c r="B36" s="18" t="n">
        <v>1729.3</v>
      </c>
      <c r="G36" s="12" t="inlineStr">
        <is>
          <t>[DATA]</t>
        </is>
      </c>
      <c r="H36" s="13" t="inlineStr">
        <is>
          <t>Yahoo Finance / MarketBeat shares outstanding, Oct 2026 (1,729.3M); buybacks cut diluted avg from 1,894M (2022) to 1,809M (2025)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SCHW</t>
        </is>
      </c>
    </row>
    <row r="2" ht="18" customHeight="1">
      <c r="A2" s="2" t="inlineStr">
        <is>
          <t>$ millions. Source: Yahoo Finance annual statements (filing-derived), as of 2026-10-19. FY2021 column blank in source — excluded.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20762</v>
      </c>
      <c r="C4" s="21" t="n">
        <v>18837</v>
      </c>
      <c r="D4" s="21" t="n">
        <v>19606</v>
      </c>
      <c r="E4" s="21" t="n">
        <v>23921</v>
      </c>
    </row>
    <row r="5">
      <c r="A5" s="3" t="inlineStr">
        <is>
          <t>Net interest income</t>
        </is>
      </c>
      <c r="B5" s="21" t="n">
        <v>10682</v>
      </c>
      <c r="C5" s="21" t="n">
        <v>9427</v>
      </c>
      <c r="D5" s="21" t="n">
        <v>9144</v>
      </c>
      <c r="E5" s="21" t="n">
        <v>11750</v>
      </c>
    </row>
    <row r="6">
      <c r="A6" s="3" t="inlineStr">
        <is>
          <t>Operating profit (pretax + D&amp;A)</t>
        </is>
      </c>
      <c r="B6" s="21" t="n">
        <v>10636</v>
      </c>
      <c r="C6" s="21" t="n">
        <v>7716</v>
      </c>
      <c r="D6" s="21" t="n">
        <v>9127</v>
      </c>
      <c r="E6" s="21" t="n">
        <v>12821</v>
      </c>
    </row>
    <row r="7">
      <c r="A7" s="3" t="inlineStr">
        <is>
          <t>Op. margin (pretax+D&amp;A)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Pretax income</t>
        </is>
      </c>
      <c r="B8" s="21" t="n">
        <v>9388</v>
      </c>
      <c r="C8" s="21" t="n">
        <v>6378</v>
      </c>
      <c r="D8" s="21" t="n">
        <v>7692</v>
      </c>
      <c r="E8" s="21" t="n">
        <v>11459</v>
      </c>
    </row>
    <row r="9">
      <c r="A9" s="3" t="inlineStr">
        <is>
          <t>Net income</t>
        </is>
      </c>
      <c r="B9" s="21" t="n">
        <v>7183</v>
      </c>
      <c r="C9" s="21" t="n">
        <v>5067</v>
      </c>
      <c r="D9" s="21" t="n">
        <v>5942</v>
      </c>
      <c r="E9" s="21" t="n">
        <v>8852</v>
      </c>
    </row>
    <row r="10">
      <c r="A10" s="3" t="inlineStr">
        <is>
          <t>Diluted average shares (M)</t>
        </is>
      </c>
      <c r="B10" s="21" t="n">
        <v>1894</v>
      </c>
      <c r="C10" s="21" t="n">
        <v>1831</v>
      </c>
      <c r="D10" s="21" t="n">
        <v>1834</v>
      </c>
      <c r="E10" s="21" t="n">
        <v>1809</v>
      </c>
    </row>
    <row r="11">
      <c r="A11" s="3" t="inlineStr">
        <is>
          <t>Operating cash flow</t>
        </is>
      </c>
      <c r="B11" s="21" t="n">
        <v>2057</v>
      </c>
      <c r="C11" s="21" t="n">
        <v>19587</v>
      </c>
      <c r="D11" s="21" t="n">
        <v>2670</v>
      </c>
      <c r="E11" s="21" t="n">
        <v>9311</v>
      </c>
    </row>
    <row r="12">
      <c r="A12" s="3" t="inlineStr">
        <is>
          <t>Capital expenditures</t>
        </is>
      </c>
      <c r="B12" s="21" t="n">
        <v>-971</v>
      </c>
      <c r="C12" s="21" t="n">
        <v>-700</v>
      </c>
      <c r="D12" s="21" t="n">
        <v>-620</v>
      </c>
      <c r="E12" s="21" t="n">
        <v>-548</v>
      </c>
    </row>
    <row r="13">
      <c r="A13" s="3" t="inlineStr">
        <is>
          <t>Free cash flow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</row>
    <row r="14">
      <c r="A14" s="3" t="inlineStr">
        <is>
          <t>Cash &amp; equivalents</t>
        </is>
      </c>
      <c r="B14" s="21" t="n">
        <v>40195</v>
      </c>
      <c r="C14" s="21" t="n">
        <v>43337</v>
      </c>
      <c r="D14" s="21" t="n">
        <v>42083</v>
      </c>
      <c r="E14" s="21" t="n">
        <v>46030</v>
      </c>
    </row>
    <row r="15">
      <c r="A15" s="3" t="inlineStr">
        <is>
          <t>Total debt</t>
        </is>
      </c>
      <c r="B15" s="21" t="n">
        <v>37878</v>
      </c>
      <c r="C15" s="21" t="n">
        <v>59081</v>
      </c>
      <c r="D15" s="21" t="n">
        <v>45134</v>
      </c>
      <c r="E15" s="21" t="n">
        <v>30951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The Charles Schwab Corporation (SCHW)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Op. margin (pretax+D&amp;A)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Operating profit (pretax+D&amp;A)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Pretax income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Balance-sheet reinvestment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Free cash flow (equity proxy)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The Charles Schwab Corporation (SCHW)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Op. margin (pretax+D&amp;A)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Operating profit (pretax+D&amp;A)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Pretax income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Balance-sheet reinvestment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Free cash flow (equity proxy)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The Charles Schwab Corporation (SCHW)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Op. margin (pretax+D&amp;A)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Operating profit (pretax+D&amp;A)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Pretax income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Balance-sheet reinvestment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Free cash flow (equity proxy)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fintech</t>
        </is>
      </c>
    </row>
    <row r="2" ht="18" customHeight="1">
      <c r="A2" s="2" t="inlineStr">
        <is>
          <t>Market data as of 2026-10-19 (Yahoo Finance); prices are Oct 16, 2026 closes. $ millions, except price and per-share. EV = Oct 16 mcap + Q2 2026 total debt − Q2 2026 cash &amp; equivalents; revenue = FY2025 (filing-derived).</t>
        </is>
      </c>
    </row>
    <row r="3">
      <c r="A3" s="20" t="inlineStr"/>
      <c r="B3" s="20" t="inlineStr">
        <is>
          <t>SCHW</t>
        </is>
      </c>
      <c r="C3" s="20" t="inlineStr">
        <is>
          <t>HOOD</t>
        </is>
      </c>
      <c r="D3" s="20" t="inlineStr">
        <is>
          <t>COIN</t>
        </is>
      </c>
      <c r="E3" s="20" t="inlineStr">
        <is>
          <t>SOFI</t>
        </is>
      </c>
      <c r="F3" s="20" t="n"/>
    </row>
    <row r="4">
      <c r="A4" s="3" t="inlineStr">
        <is>
          <t>Price ($)</t>
        </is>
      </c>
      <c r="B4" s="23" t="n">
        <v>91.95999999999999</v>
      </c>
      <c r="C4" s="23" t="n">
        <v>98.87</v>
      </c>
      <c r="D4" s="23" t="n">
        <v>173.16</v>
      </c>
      <c r="E4" s="23" t="n">
        <v>14.55</v>
      </c>
    </row>
    <row r="5">
      <c r="A5" s="3" t="inlineStr">
        <is>
          <t>Market cap ($M)</t>
        </is>
      </c>
      <c r="B5" s="21" t="n">
        <v>159026.5</v>
      </c>
      <c r="C5" s="21" t="n">
        <v>88892.3</v>
      </c>
      <c r="D5" s="21" t="n">
        <v>45696.5</v>
      </c>
      <c r="E5" s="21" t="n">
        <v>18792.8</v>
      </c>
    </row>
    <row r="6">
      <c r="A6" s="3" t="inlineStr">
        <is>
          <t>Enterprise value ($M)</t>
        </is>
      </c>
      <c r="B6" s="21" t="n">
        <v>155791.5</v>
      </c>
      <c r="C6" s="21" t="n">
        <v>106236.3</v>
      </c>
      <c r="D6" s="21" t="n">
        <v>43750.7</v>
      </c>
      <c r="E6" s="21" t="n">
        <v>19071.7</v>
      </c>
    </row>
    <row r="7">
      <c r="A7" s="3" t="inlineStr">
        <is>
          <t>Revenue, FY2025 ($M)</t>
        </is>
      </c>
      <c r="B7" s="21" t="n">
        <v>23921</v>
      </c>
      <c r="C7" s="21" t="n">
        <v>4473</v>
      </c>
      <c r="D7" s="21" t="n">
        <v>7181.3</v>
      </c>
      <c r="E7" s="21" t="n">
        <v>3613.4</v>
      </c>
    </row>
    <row r="8">
      <c r="A8" s="3" t="inlineStr">
        <is>
          <t>EBITDA, FY2025 ($M)</t>
        </is>
      </c>
      <c r="B8" s="21" t="n">
        <v>12821</v>
      </c>
      <c r="C8" s="21" t="n">
        <v>2180</v>
      </c>
      <c r="D8" s="21" t="n">
        <v>1795.9</v>
      </c>
      <c r="E8" s="21" t="n">
        <v>760.1</v>
      </c>
      <c r="F8" s="9" t="inlineStr">
        <is>
          <t>Note: pretax+D&amp;A proxy</t>
        </is>
      </c>
    </row>
    <row r="9">
      <c r="A9" s="3" t="inlineStr">
        <is>
          <t>Forward EPS ($)</t>
        </is>
      </c>
      <c r="B9" s="23" t="n">
        <v>7.85</v>
      </c>
      <c r="C9" s="23" t="n">
        <v>3.43</v>
      </c>
      <c r="D9" s="23" t="n">
        <v>2.99</v>
      </c>
      <c r="E9" s="23" t="n">
        <v>0.82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s="24" t="n">
        <v>15.46</v>
      </c>
      <c r="C12" s="24" t="n">
        <v>43.56</v>
      </c>
      <c r="D12" t="inlineStr">
        <is>
          <t>n/a</t>
        </is>
      </c>
      <c r="E12" s="24" t="n">
        <v>29.72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SCHW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Implied $86.14 — the operative lens for a deposit-funded broker; near market, a useful counterweight to the DCF (see memo).</t>
        </is>
      </c>
    </row>
    <row r="22">
      <c r="A22" s="3" t="inlineStr">
        <is>
          <t>Median peer forward P/E</t>
        </is>
      </c>
      <c r="B22" s="24">
        <f>MEDIAN(C13:E13)</f>
        <v/>
      </c>
    </row>
    <row r="23">
      <c r="A23" s="3" t="inlineStr">
        <is>
          <t>SCHW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  <c r="C24" s="25" t="inlineStr">
        <is>
          <t>Implied $226.28 — not meaningful: the peer median is dominated by HOOD/COIN high-multiple growth names.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Sensitivity — base-case per-share value ($)</t>
        </is>
      </c>
    </row>
    <row r="2" ht="18" customHeight="1">
      <c r="A2" s="2" t="inlineStr">
        <is>
          <t>Two-way sensitivity to WACC (±150 bps) and terminal growth (±100 bps). Live formulas off DCF_Base.</t>
        </is>
      </c>
    </row>
    <row r="3">
      <c r="A3" s="20" t="inlineStr">
        <is>
          <t>WACC \ g</t>
        </is>
      </c>
      <c r="B3" s="20">
        <f>Assumptions!$B$32-0.010</f>
        <v/>
      </c>
      <c r="C3" s="20">
        <f>Assumptions!$B$32-0.005</f>
        <v/>
      </c>
      <c r="D3" s="20">
        <f>Assumptions!$B$32</f>
        <v/>
      </c>
      <c r="E3" s="20">
        <f>Assumptions!$B$32+0.005</f>
        <v/>
      </c>
      <c r="F3" s="20">
        <f>Assumptions!$B$32+0.010</f>
        <v/>
      </c>
    </row>
    <row r="4">
      <c r="A4" s="26">
        <f>Assumptions!$B$15-0.015</f>
        <v/>
      </c>
      <c r="B4" s="23">
        <f>(((DCF_Base!B16/(1+$A4)^1+DCF_Base!C16/(1+$A4)^2+DCF_Base!D16/(1+$A4)^3+DCF_Base!E16/(1+$A4)^4+DCF_Base!F16/(1+$A4)^5)+((DCF_Base!$F$16*(1+B$3)/($A4-B$3))/(1+$A4)^5)-Assumptions!$B$35)/Assumptions!$B$36</f>
        <v/>
      </c>
      <c r="C4" s="23">
        <f>(((DCF_Base!B16/(1+$A4)^1+DCF_Base!C16/(1+$A4)^2+DCF_Base!D16/(1+$A4)^3+DCF_Base!E16/(1+$A4)^4+DCF_Base!F16/(1+$A4)^5)+((DCF_Base!$F$16*(1+C$3)/($A4-C$3))/(1+$A4)^5)-Assumptions!$B$35)/Assumptions!$B$36</f>
        <v/>
      </c>
      <c r="D4" s="23">
        <f>(((DCF_Base!B16/(1+$A4)^1+DCF_Base!C16/(1+$A4)^2+DCF_Base!D16/(1+$A4)^3+DCF_Base!E16/(1+$A4)^4+DCF_Base!F16/(1+$A4)^5)+((DCF_Base!$F$16*(1+D$3)/($A4-D$3))/(1+$A4)^5)-Assumptions!$B$35)/Assumptions!$B$36</f>
        <v/>
      </c>
      <c r="E4" s="23">
        <f>(((DCF_Base!B16/(1+$A4)^1+DCF_Base!C16/(1+$A4)^2+DCF_Base!D16/(1+$A4)^3+DCF_Base!E16/(1+$A4)^4+DCF_Base!F16/(1+$A4)^5)+((DCF_Base!$F$16*(1+E$3)/($A4-E$3))/(1+$A4)^5)-Assumptions!$B$35)/Assumptions!$B$36</f>
        <v/>
      </c>
      <c r="F4" s="23">
        <f>(((DCF_Base!B16/(1+$A4)^1+DCF_Base!C16/(1+$A4)^2+DCF_Base!D16/(1+$A4)^3+DCF_Base!E16/(1+$A4)^4+DCF_Base!F16/(1+$A4)^5)+((DCF_Base!$F$16*(1+F$3)/($A4-F$3))/(1+$A4)^5)-Assumptions!$B$35)/Assumptions!$B$36</f>
        <v/>
      </c>
    </row>
    <row r="5">
      <c r="A5" s="26">
        <f>Assumptions!$B$15-0.010</f>
        <v/>
      </c>
      <c r="B5" s="23">
        <f>(((DCF_Base!B16/(1+$A5)^1+DCF_Base!C16/(1+$A5)^2+DCF_Base!D16/(1+$A5)^3+DCF_Base!E16/(1+$A5)^4+DCF_Base!F16/(1+$A5)^5)+((DCF_Base!$F$16*(1+B$3)/($A5-B$3))/(1+$A5)^5)-Assumptions!$B$35)/Assumptions!$B$36</f>
        <v/>
      </c>
      <c r="C5" s="23">
        <f>(((DCF_Base!B16/(1+$A5)^1+DCF_Base!C16/(1+$A5)^2+DCF_Base!D16/(1+$A5)^3+DCF_Base!E16/(1+$A5)^4+DCF_Base!F16/(1+$A5)^5)+((DCF_Base!$F$16*(1+C$3)/($A5-C$3))/(1+$A5)^5)-Assumptions!$B$35)/Assumptions!$B$36</f>
        <v/>
      </c>
      <c r="D5" s="23">
        <f>(((DCF_Base!B16/(1+$A5)^1+DCF_Base!C16/(1+$A5)^2+DCF_Base!D16/(1+$A5)^3+DCF_Base!E16/(1+$A5)^4+DCF_Base!F16/(1+$A5)^5)+((DCF_Base!$F$16*(1+D$3)/($A5-D$3))/(1+$A5)^5)-Assumptions!$B$35)/Assumptions!$B$36</f>
        <v/>
      </c>
      <c r="E5" s="23">
        <f>(((DCF_Base!B16/(1+$A5)^1+DCF_Base!C16/(1+$A5)^2+DCF_Base!D16/(1+$A5)^3+DCF_Base!E16/(1+$A5)^4+DCF_Base!F16/(1+$A5)^5)+((DCF_Base!$F$16*(1+E$3)/($A5-E$3))/(1+$A5)^5)-Assumptions!$B$35)/Assumptions!$B$36</f>
        <v/>
      </c>
      <c r="F5" s="23">
        <f>(((DCF_Base!B16/(1+$A5)^1+DCF_Base!C16/(1+$A5)^2+DCF_Base!D16/(1+$A5)^3+DCF_Base!E16/(1+$A5)^4+DCF_Base!F16/(1+$A5)^5)+((DCF_Base!$F$16*(1+F$3)/($A5-F$3))/(1+$A5)^5)-Assumptions!$B$35)/Assumptions!$B$36</f>
        <v/>
      </c>
    </row>
    <row r="6">
      <c r="A6" s="26">
        <f>Assumptions!$B$15-0.005</f>
        <v/>
      </c>
      <c r="B6" s="23">
        <f>(((DCF_Base!B16/(1+$A6)^1+DCF_Base!C16/(1+$A6)^2+DCF_Base!D16/(1+$A6)^3+DCF_Base!E16/(1+$A6)^4+DCF_Base!F16/(1+$A6)^5)+((DCF_Base!$F$16*(1+B$3)/($A6-B$3))/(1+$A6)^5)-Assumptions!$B$35)/Assumptions!$B$36</f>
        <v/>
      </c>
      <c r="C6" s="23">
        <f>(((DCF_Base!B16/(1+$A6)^1+DCF_Base!C16/(1+$A6)^2+DCF_Base!D16/(1+$A6)^3+DCF_Base!E16/(1+$A6)^4+DCF_Base!F16/(1+$A6)^5)+((DCF_Base!$F$16*(1+C$3)/($A6-C$3))/(1+$A6)^5)-Assumptions!$B$35)/Assumptions!$B$36</f>
        <v/>
      </c>
      <c r="D6" s="23">
        <f>(((DCF_Base!B16/(1+$A6)^1+DCF_Base!C16/(1+$A6)^2+DCF_Base!D16/(1+$A6)^3+DCF_Base!E16/(1+$A6)^4+DCF_Base!F16/(1+$A6)^5)+((DCF_Base!$F$16*(1+D$3)/($A6-D$3))/(1+$A6)^5)-Assumptions!$B$35)/Assumptions!$B$36</f>
        <v/>
      </c>
      <c r="E6" s="23">
        <f>(((DCF_Base!B16/(1+$A6)^1+DCF_Base!C16/(1+$A6)^2+DCF_Base!D16/(1+$A6)^3+DCF_Base!E16/(1+$A6)^4+DCF_Base!F16/(1+$A6)^5)+((DCF_Base!$F$16*(1+E$3)/($A6-E$3))/(1+$A6)^5)-Assumptions!$B$35)/Assumptions!$B$36</f>
        <v/>
      </c>
      <c r="F6" s="23">
        <f>(((DCF_Base!B16/(1+$A6)^1+DCF_Base!C16/(1+$A6)^2+DCF_Base!D16/(1+$A6)^3+DCF_Base!E16/(1+$A6)^4+DCF_Base!F16/(1+$A6)^5)+((DCF_Base!$F$16*(1+F$3)/($A6-F$3))/(1+$A6)^5)-Assumptions!$B$35)/Assumptions!$B$36</f>
        <v/>
      </c>
    </row>
    <row r="7">
      <c r="A7" s="26">
        <f>Assumptions!$B$15</f>
        <v/>
      </c>
      <c r="B7" s="23">
        <f>(((DCF_Base!B16/(1+$A7)^1+DCF_Base!C16/(1+$A7)^2+DCF_Base!D16/(1+$A7)^3+DCF_Base!E16/(1+$A7)^4+DCF_Base!F16/(1+$A7)^5)+((DCF_Base!$F$16*(1+B$3)/($A7-B$3))/(1+$A7)^5)-Assumptions!$B$35)/Assumptions!$B$36</f>
        <v/>
      </c>
      <c r="C7" s="23">
        <f>(((DCF_Base!B16/(1+$A7)^1+DCF_Base!C16/(1+$A7)^2+DCF_Base!D16/(1+$A7)^3+DCF_Base!E16/(1+$A7)^4+DCF_Base!F16/(1+$A7)^5)+((DCF_Base!$F$16*(1+C$3)/($A7-C$3))/(1+$A7)^5)-Assumptions!$B$35)/Assumptions!$B$36</f>
        <v/>
      </c>
      <c r="D7" s="27">
        <f>(((DCF_Base!B16/(1+$A7)^1+DCF_Base!C16/(1+$A7)^2+DCF_Base!D16/(1+$A7)^3+DCF_Base!E16/(1+$A7)^4+DCF_Base!F16/(1+$A7)^5)+((DCF_Base!$F$16*(1+D$3)/($A7-D$3))/(1+$A7)^5)-Assumptions!$B$35)/Assumptions!$B$36</f>
        <v/>
      </c>
      <c r="E7" s="23">
        <f>(((DCF_Base!B16/(1+$A7)^1+DCF_Base!C16/(1+$A7)^2+DCF_Base!D16/(1+$A7)^3+DCF_Base!E16/(1+$A7)^4+DCF_Base!F16/(1+$A7)^5)+((DCF_Base!$F$16*(1+E$3)/($A7-E$3))/(1+$A7)^5)-Assumptions!$B$35)/Assumptions!$B$36</f>
        <v/>
      </c>
      <c r="F7" s="23">
        <f>(((DCF_Base!B16/(1+$A7)^1+DCF_Base!C16/(1+$A7)^2+DCF_Base!D16/(1+$A7)^3+DCF_Base!E16/(1+$A7)^4+DCF_Base!F16/(1+$A7)^5)+((DCF_Base!$F$16*(1+F$3)/($A7-F$3))/(1+$A7)^5)-Assumptions!$B$35)/Assumptions!$B$36</f>
        <v/>
      </c>
    </row>
    <row r="8">
      <c r="A8" s="26">
        <f>Assumptions!$B$15+0.005</f>
        <v/>
      </c>
      <c r="B8" s="23">
        <f>(((DCF_Base!B16/(1+$A8)^1+DCF_Base!C16/(1+$A8)^2+DCF_Base!D16/(1+$A8)^3+DCF_Base!E16/(1+$A8)^4+DCF_Base!F16/(1+$A8)^5)+((DCF_Base!$F$16*(1+B$3)/($A8-B$3))/(1+$A8)^5)-Assumptions!$B$35)/Assumptions!$B$36</f>
        <v/>
      </c>
      <c r="C8" s="23">
        <f>(((DCF_Base!B16/(1+$A8)^1+DCF_Base!C16/(1+$A8)^2+DCF_Base!D16/(1+$A8)^3+DCF_Base!E16/(1+$A8)^4+DCF_Base!F16/(1+$A8)^5)+((DCF_Base!$F$16*(1+C$3)/($A8-C$3))/(1+$A8)^5)-Assumptions!$B$35)/Assumptions!$B$36</f>
        <v/>
      </c>
      <c r="D8" s="23">
        <f>(((DCF_Base!B16/(1+$A8)^1+DCF_Base!C16/(1+$A8)^2+DCF_Base!D16/(1+$A8)^3+DCF_Base!E16/(1+$A8)^4+DCF_Base!F16/(1+$A8)^5)+((DCF_Base!$F$16*(1+D$3)/($A8-D$3))/(1+$A8)^5)-Assumptions!$B$35)/Assumptions!$B$36</f>
        <v/>
      </c>
      <c r="E8" s="23">
        <f>(((DCF_Base!B16/(1+$A8)^1+DCF_Base!C16/(1+$A8)^2+DCF_Base!D16/(1+$A8)^3+DCF_Base!E16/(1+$A8)^4+DCF_Base!F16/(1+$A8)^5)+((DCF_Base!$F$16*(1+E$3)/($A8-E$3))/(1+$A8)^5)-Assumptions!$B$35)/Assumptions!$B$36</f>
        <v/>
      </c>
      <c r="F8" s="23">
        <f>(((DCF_Base!B16/(1+$A8)^1+DCF_Base!C16/(1+$A8)^2+DCF_Base!D16/(1+$A8)^3+DCF_Base!E16/(1+$A8)^4+DCF_Base!F16/(1+$A8)^5)+((DCF_Base!$F$16*(1+F$3)/($A8-F$3))/(1+$A8)^5)-Assumptions!$B$35)/Assumptions!$B$36</f>
        <v/>
      </c>
    </row>
    <row r="9">
      <c r="A9" s="26">
        <f>Assumptions!$B$15+0.010</f>
        <v/>
      </c>
      <c r="B9" s="23">
        <f>(((DCF_Base!B16/(1+$A9)^1+DCF_Base!C16/(1+$A9)^2+DCF_Base!D16/(1+$A9)^3+DCF_Base!E16/(1+$A9)^4+DCF_Base!F16/(1+$A9)^5)+((DCF_Base!$F$16*(1+B$3)/($A9-B$3))/(1+$A9)^5)-Assumptions!$B$35)/Assumptions!$B$36</f>
        <v/>
      </c>
      <c r="C9" s="23">
        <f>(((DCF_Base!B16/(1+$A9)^1+DCF_Base!C16/(1+$A9)^2+DCF_Base!D16/(1+$A9)^3+DCF_Base!E16/(1+$A9)^4+DCF_Base!F16/(1+$A9)^5)+((DCF_Base!$F$16*(1+C$3)/($A9-C$3))/(1+$A9)^5)-Assumptions!$B$35)/Assumptions!$B$36</f>
        <v/>
      </c>
      <c r="D9" s="23">
        <f>(((DCF_Base!B16/(1+$A9)^1+DCF_Base!C16/(1+$A9)^2+DCF_Base!D16/(1+$A9)^3+DCF_Base!E16/(1+$A9)^4+DCF_Base!F16/(1+$A9)^5)+((DCF_Base!$F$16*(1+D$3)/($A9-D$3))/(1+$A9)^5)-Assumptions!$B$35)/Assumptions!$B$36</f>
        <v/>
      </c>
      <c r="E9" s="23">
        <f>(((DCF_Base!B16/(1+$A9)^1+DCF_Base!C16/(1+$A9)^2+DCF_Base!D16/(1+$A9)^3+DCF_Base!E16/(1+$A9)^4+DCF_Base!F16/(1+$A9)^5)+((DCF_Base!$F$16*(1+E$3)/($A9-E$3))/(1+$A9)^5)-Assumptions!$B$35)/Assumptions!$B$36</f>
        <v/>
      </c>
      <c r="F9" s="23">
        <f>(((DCF_Base!B16/(1+$A9)^1+DCF_Base!C16/(1+$A9)^2+DCF_Base!D16/(1+$A9)^3+DCF_Base!E16/(1+$A9)^4+DCF_Base!F16/(1+$A9)^5)+((DCF_Base!$F$16*(1+F$3)/($A9-F$3))/(1+$A9)^5)-Assumptions!$B$35)/Assumptions!$B$36</f>
        <v/>
      </c>
    </row>
    <row r="10">
      <c r="A10" s="26">
        <f>Assumptions!$B$15+0.015</f>
        <v/>
      </c>
      <c r="B10" s="23">
        <f>(((DCF_Base!B16/(1+$A10)^1+DCF_Base!C16/(1+$A10)^2+DCF_Base!D16/(1+$A10)^3+DCF_Base!E16/(1+$A10)^4+DCF_Base!F16/(1+$A10)^5)+((DCF_Base!$F$16*(1+B$3)/($A10-B$3))/(1+$A10)^5)-Assumptions!$B$35)/Assumptions!$B$36</f>
        <v/>
      </c>
      <c r="C10" s="23">
        <f>(((DCF_Base!B16/(1+$A10)^1+DCF_Base!C16/(1+$A10)^2+DCF_Base!D16/(1+$A10)^3+DCF_Base!E16/(1+$A10)^4+DCF_Base!F16/(1+$A10)^5)+((DCF_Base!$F$16*(1+C$3)/($A10-C$3))/(1+$A10)^5)-Assumptions!$B$35)/Assumptions!$B$36</f>
        <v/>
      </c>
      <c r="D10" s="23">
        <f>(((DCF_Base!B16/(1+$A10)^1+DCF_Base!C16/(1+$A10)^2+DCF_Base!D16/(1+$A10)^3+DCF_Base!E16/(1+$A10)^4+DCF_Base!F16/(1+$A10)^5)+((DCF_Base!$F$16*(1+D$3)/($A10-D$3))/(1+$A10)^5)-Assumptions!$B$35)/Assumptions!$B$36</f>
        <v/>
      </c>
      <c r="E10" s="23">
        <f>(((DCF_Base!B16/(1+$A10)^1+DCF_Base!C16/(1+$A10)^2+DCF_Base!D16/(1+$A10)^3+DCF_Base!E16/(1+$A10)^4+DCF_Base!F16/(1+$A10)^5)+((DCF_Base!$F$16*(1+E$3)/($A10-E$3))/(1+$A10)^5)-Assumptions!$B$35)/Assumptions!$B$36</f>
        <v/>
      </c>
      <c r="F10" s="23">
        <f>(((DCF_Base!B16/(1+$A10)^1+DCF_Base!C16/(1+$A10)^2+DCF_Base!D16/(1+$A10)^3+DCF_Base!E16/(1+$A10)^4+DCF_Base!F16/(1+$A10)^5)+((DCF_Base!$F$16*(1+F$3)/($A10-F$3))/(1+$A10)^5)-Assumptions!$B$35)/Assumptions!$B$36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8" t="inlineStr">
        <is>
          <t>Net income ties across statements</t>
        </is>
      </c>
      <c r="B4" s="8" t="inlineStr">
        <is>
          <t>Income-statement net income = cash-flow-statement starting net income for FY2022–2025 (max diff $0.0M)</t>
        </is>
      </c>
      <c r="C4" s="29" t="inlineStr">
        <is>
          <t>PASS</t>
        </is>
      </c>
    </row>
    <row r="5" ht="30" customHeight="1">
      <c r="A5" s="28" t="inlineStr">
        <is>
          <t>Revenue sourced from filings</t>
        </is>
      </c>
      <c r="B5" s="8" t="inlineStr">
        <is>
          <t>FY2022–2025 total revenue 20,762.0 / 18,837.0 / 19,606.0 / 23,921.0 ($M) from Yahoo Finance annual income statement; FY2021 column blank in source — excluded</t>
        </is>
      </c>
      <c r="C5" s="29" t="inlineStr">
        <is>
          <t>PASS</t>
        </is>
      </c>
    </row>
    <row r="6" ht="30" customHeight="1">
      <c r="A6" s="28" t="inlineStr">
        <is>
          <t>Bank-model adjustments disclosed</t>
        </is>
      </c>
      <c r="B6" s="8" t="inlineStr">
        <is>
          <t>No EBITDA/gross-profit rows exist for a bank; Historicals and DCF use operating profit = pretax income + D&amp;A (2025: $12,821M, 53.6% margin); cash-flow-statement OCF swings on client cash flows and is not used in valuation</t>
        </is>
      </c>
      <c r="C6" s="29" t="inlineStr">
        <is>
          <t>PASS</t>
        </is>
      </c>
    </row>
    <row r="7" ht="30" customHeight="1">
      <c r="A7" s="28" t="inlineStr">
        <is>
          <t>Share count</t>
        </is>
      </c>
      <c r="B7" s="8" t="inlineStr">
        <is>
          <t>1,729.3M outstanding (Yahoo Finance / MarketBeat, Oct 2026); buybacks cut diluted avg from 1,894M (2022) to 1,809M (2025)</t>
        </is>
      </c>
      <c r="C7" s="29" t="inlineStr">
        <is>
          <t>PASS</t>
        </is>
      </c>
    </row>
    <row r="8" ht="30" customHeight="1">
      <c r="A8" s="28" t="inlineStr">
        <is>
          <t>Net debt bridge</t>
        </is>
      </c>
      <c r="B8" s="8" t="inlineStr">
        <is>
          <t>Q2 2026 balance sheet: total debt $37,345M less cash &amp; equivalents $40,580M = net cash $3,235M (corporate borrowings; client deposits are operating liabilities)</t>
        </is>
      </c>
      <c r="C8" s="29" t="inlineStr">
        <is>
          <t>PASS</t>
        </is>
      </c>
    </row>
    <row r="9" ht="30" customHeight="1">
      <c r="A9" s="28" t="inlineStr">
        <is>
          <t>Beta</t>
        </is>
      </c>
      <c r="B9" s="8" t="inlineStr">
        <is>
          <t>0.78 (Yahoo Finance, 2026-10-19); cross-checked 0.79 (MarketBeat), 0.75 (Finnhub)</t>
        </is>
      </c>
      <c r="C9" s="29" t="inlineStr">
        <is>
          <t>PASS</t>
        </is>
      </c>
    </row>
    <row r="10" ht="30" customHeight="1">
      <c r="A10" s="28" t="inlineStr">
        <is>
          <t>Risk-free rate</t>
        </is>
      </c>
      <c r="B10" s="8" t="inlineStr">
        <is>
          <t>US 10Y 5.1% on 2026-10-19 (verified for the sector project)</t>
        </is>
      </c>
      <c r="C10" s="29" t="inlineStr">
        <is>
          <t>PASS</t>
        </is>
      </c>
    </row>
    <row r="11" ht="30" customHeight="1">
      <c r="A11" s="28" t="inlineStr">
        <is>
          <t>Comps market data as-of</t>
        </is>
      </c>
      <c r="B11" s="8" t="inlineStr">
        <is>
          <t>HOOD / COIN / SOFI prices are Oct 16, 2026 closes; financials pulled 2026-10-19 via Yahoo Finance</t>
        </is>
      </c>
      <c r="C11" s="29" t="inlineStr">
        <is>
          <t>PASS</t>
        </is>
      </c>
    </row>
    <row r="12" ht="30" customHeight="1">
      <c r="A12" s="28" t="inlineStr">
        <is>
          <t>FCF bridge reconciles</t>
        </is>
      </c>
      <c r="B12" s="8" t="inlineStr">
        <is>
          <t>Formula check: EV = sum of PV of FCF + PV of terminal value</t>
        </is>
      </c>
      <c r="C12" s="29">
        <f>IF(ABS(DCF_Base!B22-(DCF_Base!B19+DCF_Base!B21))&lt;0.5,"PASS","FAIL")</f>
        <v/>
      </c>
    </row>
    <row r="13" ht="30" customHeight="1">
      <c r="A13" s="28" t="inlineStr">
        <is>
          <t>Per-share arithmetic</t>
        </is>
      </c>
      <c r="B13" s="8" t="inlineStr">
        <is>
          <t>Formula check: per-share = equity value / shares</t>
        </is>
      </c>
      <c r="C13" s="29">
        <f>IF(ABS(DCF_Base!B26-DCF_Base!B24/DCF_Base!B25)&lt;0.01,"PASS","FAIL")</f>
        <v/>
      </c>
    </row>
    <row r="14" ht="30" customHeight="1">
      <c r="A14" s="28" t="inlineStr">
        <is>
          <t>Sensitivity centers on base case</t>
        </is>
      </c>
      <c r="B14" s="8" t="inlineStr">
        <is>
          <t>Formula check: center cell of Sensitivity = DCF_Base per-share</t>
        </is>
      </c>
      <c r="C14" s="29">
        <f>IF(ABS(D7-DCF_Base!B26)&lt;0.05,"PASS","FAIL")</f>
        <v/>
      </c>
    </row>
    <row r="15" ht="30" customHeight="1">
      <c r="A15" s="28" t="inlineStr">
        <is>
          <t>DCF vs market gap is explainable</t>
        </is>
      </c>
      <c r="B15" s="8" t="inlineStr">
        <is>
          <t>Base per-share beats $91.96 because a 7.8% WACC (beta 0.78) against durable 48% pretax margins capitalizes through-cycle earnings the market prices at only 15.7x trailing; the rate-cut bear case ($77.41) is the honest counterweight</t>
        </is>
      </c>
      <c r="C15" s="29" t="inlineStr">
        <is>
          <t>PASS</t>
        </is>
      </c>
    </row>
    <row r="16" ht="30" customHeight="1">
      <c r="A16" s="28" t="inlineStr">
        <is>
          <t>Rate sensitivity flagged</t>
        </is>
      </c>
      <c r="B16" s="8" t="inlineStr">
        <is>
          <t>Net interest income was 49% of 2025 revenue; the bear case models Fed easing compressing NII with 2026 revenue –8%</t>
        </is>
      </c>
      <c r="C16" s="29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30" t="n">
        <v>1</v>
      </c>
      <c r="B4" s="8" t="inlineStr">
        <is>
          <t>Yahoo Finance — SCHW quote &amp; financials</t>
        </is>
      </c>
      <c r="C4" s="31" t="inlineStr">
        <is>
          <t>https://finance.yahoo.com/quote/SCHW</t>
        </is>
      </c>
      <c r="D4" s="30" t="inlineStr">
        <is>
          <t>2026-10-19</t>
        </is>
      </c>
      <c r="E4" s="8" t="inlineStr">
        <is>
          <t>Price, beta, shares, annual/quarterly statements</t>
        </is>
      </c>
    </row>
    <row r="5" ht="28" customHeight="1">
      <c r="A5" s="30" t="n">
        <v>2</v>
      </c>
      <c r="B5" s="8" t="inlineStr">
        <is>
          <t>Yahoo Finance — HOOD</t>
        </is>
      </c>
      <c r="C5" s="31" t="inlineStr">
        <is>
          <t>https://finance.yahoo.com/quote/HOOD</t>
        </is>
      </c>
      <c r="D5" s="30" t="inlineStr">
        <is>
          <t>2026-10-19</t>
        </is>
      </c>
      <c r="E5" s="8" t="inlineStr">
        <is>
          <t>Comps market data</t>
        </is>
      </c>
    </row>
    <row r="6" ht="28" customHeight="1">
      <c r="A6" s="30" t="n">
        <v>3</v>
      </c>
      <c r="B6" s="8" t="inlineStr">
        <is>
          <t>Yahoo Finance — COIN</t>
        </is>
      </c>
      <c r="C6" s="31" t="inlineStr">
        <is>
          <t>https://finance.yahoo.com/quote/COIN</t>
        </is>
      </c>
      <c r="D6" s="30" t="inlineStr">
        <is>
          <t>2026-10-19</t>
        </is>
      </c>
      <c r="E6" s="8" t="inlineStr">
        <is>
          <t>Comps market data</t>
        </is>
      </c>
    </row>
    <row r="7" ht="28" customHeight="1">
      <c r="A7" s="30" t="n">
        <v>4</v>
      </c>
      <c r="B7" s="8" t="inlineStr">
        <is>
          <t>Yahoo Finance — SOFI</t>
        </is>
      </c>
      <c r="C7" s="31" t="inlineStr">
        <is>
          <t>https://finance.yahoo.com/quote/SOFI</t>
        </is>
      </c>
      <c r="D7" s="30" t="inlineStr">
        <is>
          <t>2026-10-19</t>
        </is>
      </c>
      <c r="E7" s="8" t="inlineStr">
        <is>
          <t>Comps market data</t>
        </is>
      </c>
    </row>
    <row r="8" ht="28" customHeight="1">
      <c r="A8" s="30" t="n">
        <v>5</v>
      </c>
      <c r="B8" s="8" t="inlineStr">
        <is>
          <t>Reuters — 10Y yield ~5.1% on Oct 19, 2026</t>
        </is>
      </c>
      <c r="C8" s="31" t="inlineStr">
        <is>
          <t>https://www.reuters.com/business/wall-st-futures-climb-ai-stocks-rebound-oil-yields-fall-2026-10-19/</t>
        </is>
      </c>
      <c r="D8" s="30" t="inlineStr">
        <is>
          <t>2026-10-19</t>
        </is>
      </c>
      <c r="E8" s="8" t="inlineStr">
        <is>
          <t>Risk-free rate</t>
        </is>
      </c>
    </row>
    <row r="9" ht="28" customHeight="1">
      <c r="A9" s="30" t="n">
        <v>6</v>
      </c>
      <c r="B9" s="8" t="inlineStr">
        <is>
          <t>MarketBeat — SCHW</t>
        </is>
      </c>
      <c r="C9" s="31" t="inlineStr">
        <is>
          <t>https://www.marketbeat.com/stocks/NYSE/SCHW/</t>
        </is>
      </c>
      <c r="D9" s="30" t="inlineStr">
        <is>
          <t>2026-10-19</t>
        </is>
      </c>
      <c r="E9" s="8" t="inlineStr">
        <is>
          <t>Beta (0.79), shares (1,729.3M), dividend $1.28 (1.4% yield)</t>
        </is>
      </c>
    </row>
    <row r="10" ht="28" customHeight="1">
      <c r="A10" s="30" t="n">
        <v>7</v>
      </c>
      <c r="B10" s="8" t="inlineStr">
        <is>
          <t>Finnhub — SCHW</t>
        </is>
      </c>
      <c r="C10" s="31" t="inlineStr">
        <is>
          <t>https://finnhub.io/?q=%22SCHW%22</t>
        </is>
      </c>
      <c r="D10" s="30" t="inlineStr">
        <is>
          <t>2026-10-19</t>
        </is>
      </c>
      <c r="E10" s="8" t="inlineStr">
        <is>
          <t>Beta cross-check (0.75)</t>
        </is>
      </c>
    </row>
    <row r="11" ht="28" customHeight="1">
      <c r="A11" s="30" t="n">
        <v>8</v>
      </c>
      <c r="B11" s="8" t="inlineStr">
        <is>
          <t>American Banking News — SCHW Q3 2026 results</t>
        </is>
      </c>
      <c r="C11" s="31" t="inlineStr">
        <is>
          <t>https://www.americanbankingnews.com/2026/10/18/citizens-jmp-reaffirms-market-outperform-rating-for-charles-schwab-nyseschw.html</t>
        </is>
      </c>
      <c r="D11" s="30" t="inlineStr">
        <is>
          <t>2026-10-19</t>
        </is>
      </c>
      <c r="E11" s="8" t="inlineStr">
        <is>
          <t>Q3 2026: $1.69 EPS vs $1.66 est.; revenue $7.17B (+16.9% YoY); net margin 39.3%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2026-10-19T15:37:39+00:00Z</dcterms:created>
  <dcterms:modified xmlns:dcterms="http://purl.org/dc/terms/" xmlns:xsi="http://www.w3.org/2001/XMLSchema-instance" xsi:type="dcterms:W3CDTF">2026-10-19T15:37:39+00:00Z</dcterms:modified>
</cp:coreProperties>
</file>