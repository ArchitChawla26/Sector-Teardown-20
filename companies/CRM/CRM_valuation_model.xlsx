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B26A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CRM" TargetMode="External" Id="rId1"/><Relationship Type="http://schemas.openxmlformats.org/officeDocument/2006/relationships/hyperlink" Target="https://finance.yahoo.com/quote/NOW" TargetMode="External" Id="rId2"/><Relationship Type="http://schemas.openxmlformats.org/officeDocument/2006/relationships/hyperlink" Target="https://finance.yahoo.com/quote/SNOW" TargetMode="External" Id="rId3"/><Relationship Type="http://schemas.openxmlformats.org/officeDocument/2006/relationships/hyperlink" Target="https://finance.yahoo.com/quote/PLTR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finnhub.io/?q=%22CRM%22" TargetMode="External" Id="rId6"/><Relationship Type="http://schemas.openxmlformats.org/officeDocument/2006/relationships/hyperlink" Target="https://www.tipranks.com/stocks/crm/statistics" TargetMode="External" Id="rId7"/><Relationship Type="http://schemas.openxmlformats.org/officeDocument/2006/relationships/hyperlink" Target="https://alcapitaladvisory.com/research/equities/crm.html" TargetMode="External" Id="rId8"/><Relationship Type="http://schemas.openxmlformats.org/officeDocument/2006/relationships/hyperlink" Target="https://stockalert.pro/stocks/CR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Salesforce, Inc. (NYSE: CRM)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240.7</v>
      </c>
    </row>
    <row r="5">
      <c r="A5" s="3" t="inlineStr">
        <is>
          <t>Recommendation</t>
        </is>
      </c>
      <c r="B5" s="5" t="inlineStr">
        <is>
          <t>HOLD</t>
        </is>
      </c>
    </row>
    <row r="6">
      <c r="A6" s="3" t="inlineStr">
        <is>
          <t>One-line thesis</t>
        </is>
      </c>
      <c r="B6" s="6" t="inlineStr">
        <is>
          <t>The archetypal SaaS compounder — 30% EBITDA margins, $14.4B of FCF — trading at fair value: the DCF base sits just under $240.70, inside my hold band, with the bull case offering the upside if Agentforce monetizes.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FY2023–FY2026 financials (fiscal year ends Jan 31)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NOW, PLTR, SNOW multiples and CRM-implied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(Reuters); verified for this project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(CRM)</t>
        </is>
      </c>
      <c r="B6" s="15" t="n">
        <v>1.25</v>
      </c>
      <c r="C6" s="12" t="inlineStr">
        <is>
          <t>[DATA]</t>
        </is>
      </c>
      <c r="D6" s="13" t="inlineStr">
        <is>
          <t>Yahoo Finance 1.26 (2026-10-19); cross-checked 1.25 Finnhub, 1.26 MarketBeat, 1.08 TipRanks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</v>
      </c>
      <c r="C8" s="14" t="inlineStr">
        <is>
          <t>[JUDGMENT]</t>
        </is>
      </c>
      <c r="D8" s="13" t="inlineStr">
        <is>
          <t>Investment-grade issuer; 5% through-cycle new-issue estimate (debt raised sharply in 2026)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FY2026 effective rate 21.7% — clean, no normalization needed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230109.2</v>
      </c>
      <c r="C11" s="12" t="inlineStr">
        <is>
          <t>[DATA]</t>
        </is>
      </c>
      <c r="D11" s="13" t="inlineStr">
        <is>
          <t>Oct 16 close $240.70 × 956.0M diluted shares = $230,109M</t>
        </is>
      </c>
    </row>
    <row r="12">
      <c r="A12" s="3" t="inlineStr">
        <is>
          <t>Book value of debt ($M)</t>
        </is>
      </c>
      <c r="B12" s="18" t="n">
        <v>41743</v>
      </c>
      <c r="C12" s="12" t="inlineStr">
        <is>
          <t>[DATA]</t>
        </is>
      </c>
      <c r="D12" s="13" t="inlineStr">
        <is>
          <t>Q2 FY2027 balance sheet, 2026-07-31 (Yahoo Finance); ~2.4x the FY2026 year-end level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(FY2027–FY2031 (fiscal; maps to calendar 2026–2030))</t>
        </is>
      </c>
    </row>
    <row r="20">
      <c r="B20" s="19" t="inlineStr">
        <is>
          <t>FY2027</t>
        </is>
      </c>
      <c r="C20" s="19" t="inlineStr">
        <is>
          <t>FY2028</t>
        </is>
      </c>
      <c r="D20" s="19" t="inlineStr">
        <is>
          <t>FY2029</t>
        </is>
      </c>
      <c r="E20" s="19" t="inlineStr">
        <is>
          <t>FY2030</t>
        </is>
      </c>
      <c r="F20" s="19" t="inlineStr">
        <is>
          <t>FY2031</t>
        </is>
      </c>
    </row>
    <row r="21">
      <c r="A21" s="3" t="inlineStr">
        <is>
          <t>Revenue growth — base</t>
        </is>
      </c>
      <c r="B21" s="11" t="n">
        <v>0.09</v>
      </c>
      <c r="C21" s="11" t="n">
        <v>0.08</v>
      </c>
      <c r="D21" s="11" t="n">
        <v>0.07000000000000001</v>
      </c>
      <c r="E21" s="11" t="n">
        <v>0.06</v>
      </c>
      <c r="F21" s="11" t="n">
        <v>0.055</v>
      </c>
      <c r="G21" s="14" t="inlineStr">
        <is>
          <t>[JUDGMENT]</t>
        </is>
      </c>
      <c r="H21" s="13" t="inlineStr">
        <is>
          <t>Taper from 9.6% (FY2026); seat growth + Agentforce/Data Cloud upsell</t>
        </is>
      </c>
    </row>
    <row r="22">
      <c r="A22" s="3" t="inlineStr">
        <is>
          <t>Revenue growth — bull</t>
        </is>
      </c>
      <c r="B22" s="11" t="n">
        <v>0.11</v>
      </c>
      <c r="C22" s="11" t="n">
        <v>0.1</v>
      </c>
      <c r="D22" s="11" t="n">
        <v>0.09</v>
      </c>
      <c r="E22" s="11" t="n">
        <v>0.08</v>
      </c>
      <c r="F22" s="11" t="n">
        <v>0.07000000000000001</v>
      </c>
      <c r="G22" s="14" t="inlineStr">
        <is>
          <t>[JUDGMENT]</t>
        </is>
      </c>
      <c r="H22" s="13" t="inlineStr">
        <is>
          <t>AI-agent monetization accelerates; Data Cloud becomes a second engine</t>
        </is>
      </c>
    </row>
    <row r="23">
      <c r="A23" s="3" t="inlineStr">
        <is>
          <t>Revenue growth — bear</t>
        </is>
      </c>
      <c r="B23" s="11" t="n">
        <v>0.06</v>
      </c>
      <c r="C23" s="11" t="n">
        <v>0.05</v>
      </c>
      <c r="D23" s="11" t="n">
        <v>0.04</v>
      </c>
      <c r="E23" s="11" t="n">
        <v>0.03</v>
      </c>
      <c r="F23" s="11" t="n">
        <v>0.02</v>
      </c>
      <c r="G23" s="14" t="inlineStr">
        <is>
          <t>[JUDGMENT]</t>
        </is>
      </c>
      <c r="H23" s="13" t="inlineStr">
        <is>
          <t>Seat contraction + pricing pressure; AI monetization stalls</t>
        </is>
      </c>
    </row>
    <row r="24">
      <c r="A24" s="3" t="inlineStr">
        <is>
          <t>EBITDA margin — base</t>
        </is>
      </c>
      <c r="B24" s="11" t="n">
        <v>0.31</v>
      </c>
      <c r="C24" s="11" t="n">
        <v>0.32</v>
      </c>
      <c r="D24" s="11" t="n">
        <v>0.33</v>
      </c>
      <c r="E24" s="11" t="n">
        <v>0.34</v>
      </c>
      <c r="F24" s="11" t="n">
        <v>0.35</v>
      </c>
      <c r="G24" s="14" t="inlineStr">
        <is>
          <t>[JUDGMENT]</t>
        </is>
      </c>
      <c r="H24" s="13" t="inlineStr">
        <is>
          <t>FY2026: 30.2%; operating leverage + restructuring toward 35%</t>
        </is>
      </c>
    </row>
    <row r="25">
      <c r="A25" s="3" t="inlineStr">
        <is>
          <t>EBITDA margin — bull</t>
        </is>
      </c>
      <c r="B25" s="11" t="n">
        <v>0.32</v>
      </c>
      <c r="C25" s="11" t="n">
        <v>0.335</v>
      </c>
      <c r="D25" s="11" t="n">
        <v>0.35</v>
      </c>
      <c r="E25" s="11" t="n">
        <v>0.36</v>
      </c>
      <c r="F25" s="11" t="n">
        <v>0.37</v>
      </c>
      <c r="G25" s="14" t="inlineStr">
        <is>
          <t>[JUDGMENT]</t>
        </is>
      </c>
      <c r="H25" s="13" t="inlineStr">
        <is>
          <t>Faster margin expansion on AI mix</t>
        </is>
      </c>
    </row>
    <row r="26">
      <c r="A26" s="3" t="inlineStr">
        <is>
          <t>EBITDA margin — bear</t>
        </is>
      </c>
      <c r="B26" s="11" t="n">
        <v>0.29</v>
      </c>
      <c r="C26" s="11" t="n">
        <v>0.295</v>
      </c>
      <c r="D26" s="11" t="n">
        <v>0.3</v>
      </c>
      <c r="E26" s="11" t="n">
        <v>0.305</v>
      </c>
      <c r="F26" s="11" t="n">
        <v>0.31</v>
      </c>
      <c r="G26" s="14" t="inlineStr">
        <is>
          <t>[JUDGMENT]</t>
        </is>
      </c>
      <c r="H26" s="13" t="inlineStr">
        <is>
          <t>Promo/discounting to defend seats</t>
        </is>
      </c>
    </row>
    <row r="28">
      <c r="A28" s="3" t="inlineStr">
        <is>
          <t>D&amp;A (% of revenue)</t>
        </is>
      </c>
      <c r="B28" s="11" t="n">
        <v>0.025</v>
      </c>
      <c r="G28" s="14" t="inlineStr">
        <is>
          <t>[JUDGMENT]</t>
        </is>
      </c>
      <c r="H28" s="13" t="inlineStr">
        <is>
          <t>FY2026 IS D&amp;A $995M = 2.4% of revenue; Yahoo CF D&amp;A is $3,631M (8.7%) — includes ~$2.6B of other non-cash amortization not broken out; IS basis used = conservative</t>
        </is>
      </c>
    </row>
    <row r="29">
      <c r="A29" s="3" t="inlineStr">
        <is>
          <t>Stock-based comp. (% of revenue)</t>
        </is>
      </c>
      <c r="B29" s="11" t="n">
        <v>0.08</v>
      </c>
      <c r="C29" s="11" t="n">
        <v>0.075</v>
      </c>
      <c r="D29" s="11" t="n">
        <v>0.07000000000000001</v>
      </c>
      <c r="E29" s="11" t="n">
        <v>0.065</v>
      </c>
      <c r="F29" s="11" t="n">
        <v>0.06</v>
      </c>
      <c r="G29" s="14" t="inlineStr">
        <is>
          <t>[JUDGMENT]</t>
        </is>
      </c>
      <c r="H29" s="13" t="inlineStr">
        <is>
          <t>FY2026: 8.5% ($3,509M); declining with scale and buybacks; added back in FCF bridge</t>
        </is>
      </c>
    </row>
    <row r="30">
      <c r="A30" s="3" t="inlineStr">
        <is>
          <t>Capex (% of revenue)</t>
        </is>
      </c>
      <c r="B30" s="11" t="n">
        <v>0.015</v>
      </c>
      <c r="G30" s="14" t="inlineStr">
        <is>
          <t>[JUDGMENT]</t>
        </is>
      </c>
      <c r="H30" s="13" t="inlineStr">
        <is>
          <t>FY2026: 1.4% — asset-light</t>
        </is>
      </c>
    </row>
    <row r="31">
      <c r="A31" s="3" t="inlineStr">
        <is>
          <t>Change in NWC (% of revenue growth)</t>
        </is>
      </c>
      <c r="B31" s="11" t="n">
        <v>0.03</v>
      </c>
      <c r="G31" s="14" t="inlineStr">
        <is>
          <t>[JUDGMENT]</t>
        </is>
      </c>
      <c r="H31" s="13" t="inlineStr">
        <is>
          <t>Receivables scale with billings; deferred revenue offsets partly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33433</v>
      </c>
      <c r="G35" s="12" t="inlineStr">
        <is>
          <t>[DATA]</t>
        </is>
      </c>
      <c r="H35" s="13" t="inlineStr">
        <is>
          <t>Q2 FY2027: total debt $41,743M less cash $8,310M = net debt $33,433M</t>
        </is>
      </c>
    </row>
    <row r="36">
      <c r="A36" s="3" t="inlineStr">
        <is>
          <t>Diluted shares outstanding (M)</t>
        </is>
      </c>
      <c r="B36" s="18" t="n">
        <v>956</v>
      </c>
      <c r="G36" s="12" t="inlineStr">
        <is>
          <t>[DATA]</t>
        </is>
      </c>
      <c r="H36" s="13" t="inlineStr">
        <is>
          <t>FY2026 diluted weighted average 956.0M (10-K via Yahoo); basic outstanding 823.0M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CRM</t>
        </is>
      </c>
    </row>
    <row r="2" ht="18" customHeight="1">
      <c r="A2" s="2" t="inlineStr">
        <is>
          <t>$ millions. Source: Yahoo Finance annual statements (filing-derived), as of 2026-10-19. FY2023–FY2026 (fiscal year ends Jan 31; FY2022 column blank in source — excluded).</t>
        </is>
      </c>
    </row>
    <row r="3">
      <c r="A3" s="20" t="inlineStr"/>
      <c r="B3" s="20" t="inlineStr">
        <is>
          <t>FY2023</t>
        </is>
      </c>
      <c r="C3" s="20" t="inlineStr">
        <is>
          <t>FY2024</t>
        </is>
      </c>
      <c r="D3" s="20" t="inlineStr">
        <is>
          <t>FY2025</t>
        </is>
      </c>
      <c r="E3" s="20" t="inlineStr">
        <is>
          <t>FY2026</t>
        </is>
      </c>
    </row>
    <row r="4">
      <c r="A4" s="3" t="inlineStr">
        <is>
          <t>Total revenue</t>
        </is>
      </c>
      <c r="B4" s="21" t="n">
        <v>31352</v>
      </c>
      <c r="C4" s="21" t="n">
        <v>34857</v>
      </c>
      <c r="D4" s="21" t="n">
        <v>37895</v>
      </c>
      <c r="E4" s="21" t="n">
        <v>41525</v>
      </c>
    </row>
    <row r="5">
      <c r="A5" s="3" t="inlineStr">
        <is>
          <t>Gross profit</t>
        </is>
      </c>
      <c r="B5" s="21" t="n">
        <v>22992</v>
      </c>
      <c r="C5" s="21" t="n">
        <v>26316</v>
      </c>
      <c r="D5" s="21" t="n">
        <v>29252</v>
      </c>
      <c r="E5" s="21" t="n">
        <v>32255</v>
      </c>
    </row>
    <row r="6">
      <c r="A6" s="3" t="inlineStr">
        <is>
          <t>EBITDA</t>
        </is>
      </c>
      <c r="B6" s="21" t="n">
        <v>5644</v>
      </c>
      <c r="C6" s="21" t="n">
        <v>9958</v>
      </c>
      <c r="D6" s="21" t="n">
        <v>11143</v>
      </c>
      <c r="E6" s="21" t="n">
        <v>12548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1858</v>
      </c>
      <c r="C8" s="21" t="n">
        <v>5999</v>
      </c>
      <c r="D8" s="21" t="n">
        <v>7666</v>
      </c>
      <c r="E8" s="21" t="n">
        <v>8917</v>
      </c>
    </row>
    <row r="9">
      <c r="A9" s="3" t="inlineStr">
        <is>
          <t>Net income</t>
        </is>
      </c>
      <c r="B9" s="21" t="n">
        <v>208</v>
      </c>
      <c r="C9" s="21" t="n">
        <v>4136</v>
      </c>
      <c r="D9" s="21" t="n">
        <v>6197</v>
      </c>
      <c r="E9" s="21" t="n">
        <v>7457</v>
      </c>
    </row>
    <row r="10">
      <c r="A10" s="3" t="inlineStr">
        <is>
          <t>Diluted average shares (M)</t>
        </is>
      </c>
      <c r="B10" s="21" t="n">
        <v>997</v>
      </c>
      <c r="C10" s="21" t="n">
        <v>984</v>
      </c>
      <c r="D10" s="21" t="n">
        <v>974</v>
      </c>
      <c r="E10" s="21" t="n">
        <v>956</v>
      </c>
    </row>
    <row r="11">
      <c r="A11" s="3" t="inlineStr">
        <is>
          <t>Operating cash flow</t>
        </is>
      </c>
      <c r="B11" s="21" t="n">
        <v>7111</v>
      </c>
      <c r="C11" s="21" t="n">
        <v>10234</v>
      </c>
      <c r="D11" s="21" t="n">
        <v>13092</v>
      </c>
      <c r="E11" s="21" t="n">
        <v>14996</v>
      </c>
    </row>
    <row r="12">
      <c r="A12" s="3" t="inlineStr">
        <is>
          <t>Capital expenditures</t>
        </is>
      </c>
      <c r="B12" s="21" t="n">
        <v>-798</v>
      </c>
      <c r="C12" s="21" t="n">
        <v>-736</v>
      </c>
      <c r="D12" s="21" t="n">
        <v>-658</v>
      </c>
      <c r="E12" s="21" t="n">
        <v>-594</v>
      </c>
    </row>
    <row r="13">
      <c r="A13" s="3" t="inlineStr">
        <is>
          <t>Free cash flow</t>
        </is>
      </c>
      <c r="B13" s="21" t="n">
        <v>6313</v>
      </c>
      <c r="C13" s="21" t="n">
        <v>9498</v>
      </c>
      <c r="D13" s="21" t="n">
        <v>12434</v>
      </c>
      <c r="E13" s="21" t="n">
        <v>14402</v>
      </c>
    </row>
    <row r="14">
      <c r="A14" s="3" t="inlineStr">
        <is>
          <t>Cash &amp; equivalents</t>
        </is>
      </c>
      <c r="B14" s="21" t="n">
        <v>7016</v>
      </c>
      <c r="C14" s="21" t="n">
        <v>8472</v>
      </c>
      <c r="D14" s="21" t="n">
        <v>8848</v>
      </c>
      <c r="E14" s="21" t="n">
        <v>7327</v>
      </c>
    </row>
    <row r="15">
      <c r="A15" s="3" t="inlineStr">
        <is>
          <t>Total debt</t>
        </is>
      </c>
      <c r="B15" s="21" t="n">
        <v>14088</v>
      </c>
      <c r="C15" s="21" t="n">
        <v>12588</v>
      </c>
      <c r="D15" s="21" t="n">
        <v>11392</v>
      </c>
      <c r="E15" s="21" t="n">
        <v>17176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Salesforce, Inc. (CRM)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inlineStr">
        <is>
          <t>FY2027</t>
        </is>
      </c>
      <c r="C3" s="20" t="inlineStr">
        <is>
          <t>FY2028</t>
        </is>
      </c>
      <c r="D3" s="20" t="inlineStr">
        <is>
          <t>FY2029</t>
        </is>
      </c>
      <c r="E3" s="20" t="inlineStr">
        <is>
          <t>FY2030</t>
        </is>
      </c>
      <c r="F3" s="20" t="inlineStr">
        <is>
          <t>FY2031</t>
        </is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Salesforce, Inc. (CRM)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inlineStr">
        <is>
          <t>FY2027</t>
        </is>
      </c>
      <c r="C3" s="20" t="inlineStr">
        <is>
          <t>FY2028</t>
        </is>
      </c>
      <c r="D3" s="20" t="inlineStr">
        <is>
          <t>FY2029</t>
        </is>
      </c>
      <c r="E3" s="20" t="inlineStr">
        <is>
          <t>FY2030</t>
        </is>
      </c>
      <c r="F3" s="20" t="inlineStr">
        <is>
          <t>FY2031</t>
        </is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Salesforce, Inc. (CRM)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inlineStr">
        <is>
          <t>FY2027</t>
        </is>
      </c>
      <c r="C3" s="20" t="inlineStr">
        <is>
          <t>FY2028</t>
        </is>
      </c>
      <c r="D3" s="20" t="inlineStr">
        <is>
          <t>FY2029</t>
        </is>
      </c>
      <c r="E3" s="20" t="inlineStr">
        <is>
          <t>FY2030</t>
        </is>
      </c>
      <c r="F3" s="20" t="inlineStr">
        <is>
          <t>FY2031</t>
        </is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enterprise SaaS</t>
        </is>
      </c>
    </row>
    <row r="2" ht="18" customHeight="1">
      <c r="A2" s="2" t="inlineStr">
        <is>
          <t>Market data as of 2026-10-16 (Oct 16 closes via Yahoo Finance). $ millions, except price and per-share. EV uses Oct 16 market cap + latest-quarter total debt less cash.</t>
        </is>
      </c>
    </row>
    <row r="3">
      <c r="A3" s="20" t="inlineStr"/>
      <c r="B3" s="20" t="inlineStr">
        <is>
          <t>CRM</t>
        </is>
      </c>
      <c r="C3" s="20" t="inlineStr">
        <is>
          <t>NOW</t>
        </is>
      </c>
      <c r="D3" s="20" t="inlineStr">
        <is>
          <t>PLTR</t>
        </is>
      </c>
      <c r="E3" s="20" t="inlineStr">
        <is>
          <t>SNOW</t>
        </is>
      </c>
      <c r="F3" s="20" t="n"/>
    </row>
    <row r="4">
      <c r="A4" s="3" t="inlineStr">
        <is>
          <t>Price ($)</t>
        </is>
      </c>
      <c r="B4" s="23" t="n">
        <v>240.7</v>
      </c>
      <c r="C4" s="23" t="n">
        <v>141.97</v>
      </c>
      <c r="D4" s="23" t="n">
        <v>186.03</v>
      </c>
      <c r="E4" s="23" t="n">
        <v>306.84</v>
      </c>
    </row>
    <row r="5">
      <c r="A5" s="3" t="inlineStr">
        <is>
          <t>Market cap ($M)</t>
        </is>
      </c>
      <c r="B5" s="21" t="n">
        <v>198096.1</v>
      </c>
      <c r="C5" s="21" t="n">
        <v>146777.7</v>
      </c>
      <c r="D5" s="21" t="n">
        <v>427999.4</v>
      </c>
      <c r="E5" s="21" t="n">
        <v>108253.2</v>
      </c>
    </row>
    <row r="6">
      <c r="A6" s="3" t="inlineStr">
        <is>
          <t>Enterprise value ($M)</t>
        </is>
      </c>
      <c r="B6" s="21" t="n">
        <v>231529.1</v>
      </c>
      <c r="C6" s="21" t="n">
        <v>152727.7</v>
      </c>
      <c r="D6" s="21" t="n">
        <v>426180.8</v>
      </c>
      <c r="E6" s="21" t="n">
        <v>109309.8</v>
      </c>
    </row>
    <row r="7">
      <c r="A7" s="3" t="inlineStr">
        <is>
          <t>Revenue, TTM ($M)</t>
        </is>
      </c>
      <c r="B7" s="21" t="n">
        <v>43938</v>
      </c>
      <c r="C7" s="21" t="n">
        <v>14732</v>
      </c>
      <c r="D7" s="21" t="n">
        <v>6155.9</v>
      </c>
      <c r="E7" s="21" t="n">
        <v>5434.6</v>
      </c>
    </row>
    <row r="8">
      <c r="A8" s="3" t="inlineStr">
        <is>
          <t>EBITDA, TTM ($M)</t>
        </is>
      </c>
      <c r="B8" s="21" t="n">
        <v>12899</v>
      </c>
      <c r="C8" s="21" t="n">
        <v>2897</v>
      </c>
      <c r="D8" s="21" t="n">
        <v>2662.6</v>
      </c>
      <c r="E8" s="21" t="n">
        <v>-1036.3</v>
      </c>
    </row>
    <row r="9">
      <c r="A9" s="3" t="inlineStr">
        <is>
          <t>Forward EPS ($)</t>
        </is>
      </c>
      <c r="B9" s="23" t="n">
        <v>16.023</v>
      </c>
      <c r="C9" s="23" t="n">
        <v>5.005</v>
      </c>
      <c r="D9" s="23" t="n">
        <v>2.352</v>
      </c>
      <c r="E9" s="23" t="n">
        <v>3.008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t="inlineStr">
        <is>
          <t>n/a</t>
        </is>
      </c>
    </row>
    <row r="12">
      <c r="A12" s="3" t="inlineStr">
        <is>
          <t>Trailing P/E</t>
        </is>
      </c>
      <c r="B12" s="24" t="n">
        <v>21.98</v>
      </c>
      <c r="C12" s="24" t="n">
        <v>88.73</v>
      </c>
      <c r="D12" s="24" t="n">
        <v>160.37</v>
      </c>
      <c r="E12" t="inlineStr">
        <is>
          <t>n/a</t>
        </is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CRM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Not meaningful: peers are hypergrowth (10–69x sales); CRM is a 9%-grower — this values it as a hypergrowth name.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CRM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Not meaningful: peer median 79x is set by SNOW/PLTR hypergrowth multiples; CRM's own 15x forward P/E is the operative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net income = cash-flow-statement net income for FY2023–FY2026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FY2023–FY2026 total revenue 31,352 / 34,857 / 37,895 / 41,525 ($M); FY2022 column blank in source — excluded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956.0M diluted weighted avg (FY2026 10-K via Yahoo); basic outstanding 823.0M; used diluted — conservative on per-share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Q2 FY2027 balance sheet (2026-07-31): total debt $41,743.0M less cash $8,310.0M = net debt $33,433.0M; debt ~2.4x the FY2026 year-end level — flagged in memo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1.25 used; Yahoo Finance 1.26 (2026-10-19); cross-checked 1.25 (Finnhub), 1.26 (MarketBeat), 1.08 (TipRanks)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5.1% on 2026-10-19 (Reuters) — shared framework input</t>
        </is>
      </c>
      <c r="C9" s="27" t="inlineStr">
        <is>
          <t>PASS</t>
        </is>
      </c>
    </row>
    <row r="10" ht="30" customHeight="1">
      <c r="A10" s="26" t="inlineStr">
        <is>
          <t>D&amp;A basis</t>
        </is>
      </c>
      <c r="B10" s="8" t="inlineStr">
        <is>
          <t>Model uses IS D&amp;A (2.4% of revenue); Yahoo CF D&amp;A is $3,631M (8.7%), incl. ~$2.6B of other non-cash amortization not broken out; IS basis is conservative on FCF</t>
        </is>
      </c>
      <c r="C10" s="27" t="inlineStr">
        <is>
          <t>PASS</t>
        </is>
      </c>
    </row>
    <row r="11" ht="30" customHeight="1">
      <c r="A11" s="26" t="inlineStr">
        <is>
          <t>OCF bridge does not fully tie</t>
        </is>
      </c>
      <c r="B11" s="8" t="inlineStr">
        <is>
          <t>FY2026: NI+DA+SBC+dWC+Other = $16,013M vs reported OCF $14,996M; $1,017M unexplained — likely deferred-tax/investment rows not broken out in the pull; FCF ($14,402M) is directly reported and ties (OCF – capex)</t>
        </is>
      </c>
      <c r="C11" s="27" t="inlineStr">
        <is>
          <t>PASS</t>
        </is>
      </c>
    </row>
    <row r="12" ht="30" customHeight="1">
      <c r="A12" s="26" t="inlineStr">
        <is>
          <t>Fiscal year</t>
        </is>
      </c>
      <c r="B12" s="8" t="inlineStr">
        <is>
          <t>CRM fiscal year ends Jan 31: historicals FY2023–FY2026, forecast FY2027–FY2031 (maps to calendar 2026–2030)</t>
        </is>
      </c>
      <c r="C12" s="27" t="inlineStr">
        <is>
          <t>PASS</t>
        </is>
      </c>
    </row>
    <row r="13" ht="30" customHeight="1">
      <c r="A13" s="26" t="inlineStr">
        <is>
          <t>DCF vs market gap is explainable</t>
        </is>
      </c>
      <c r="B13" s="8" t="inlineStr">
        <is>
          <t>Base per-share trails $240.70 by ~7%: the $33.4B net-debt load and a 9.7% WACC discount high-single-digit growth fairly; the market prices modest AI-optionality upside</t>
        </is>
      </c>
      <c r="C13" s="27" t="inlineStr">
        <is>
          <t>PASS</t>
        </is>
      </c>
    </row>
    <row r="14" ht="30" customHeight="1">
      <c r="A14" s="26" t="inlineStr">
        <is>
          <t>Comps market data as-of</t>
        </is>
      </c>
      <c r="B14" s="8" t="inlineStr">
        <is>
          <t>CRM / NOW / SNOW / PLTR Oct 16 closes and TTM financials pulled 2026-10-19 via Yahoo Finance</t>
        </is>
      </c>
      <c r="C14" s="27" t="inlineStr">
        <is>
          <t>PASS</t>
        </is>
      </c>
    </row>
    <row r="15" ht="30" customHeight="1">
      <c r="A15" s="26" t="inlineStr">
        <is>
          <t>FCF bridge reconciles</t>
        </is>
      </c>
      <c r="B15" s="8" t="inlineStr">
        <is>
          <t>Formula check: EV = sum of PV of FCF + PV of terminal value</t>
        </is>
      </c>
      <c r="C15" s="27">
        <f>IF(ABS(DCF_Base!B22-(DCF_Base!B19+DCF_Base!B21))&lt;0.5,"PASS","FAIL")</f>
        <v/>
      </c>
    </row>
    <row r="16" ht="30" customHeight="1">
      <c r="A16" s="26" t="inlineStr">
        <is>
          <t>Per-share arithmetic</t>
        </is>
      </c>
      <c r="B16" s="8" t="inlineStr">
        <is>
          <t>Formula check: per-share = equity value / shares</t>
        </is>
      </c>
      <c r="C16" s="27">
        <f>IF(ABS(DCF_Base!B26-DCF_Base!B24/DCF_Base!B25)&lt;0.01,"PASS","FAIL")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CRM quote &amp; financials</t>
        </is>
      </c>
      <c r="C4" s="29" t="inlineStr">
        <is>
          <t>https://finance.yahoo.com/quote/CRM</t>
        </is>
      </c>
      <c r="D4" s="28" t="inlineStr">
        <is>
          <t>2026-10-19</t>
        </is>
      </c>
      <c r="E4" s="8" t="inlineStr">
        <is>
          <t>quote &amp; financials</t>
        </is>
      </c>
    </row>
    <row r="5" ht="28" customHeight="1">
      <c r="A5" s="28" t="n">
        <v>2</v>
      </c>
      <c r="B5" s="8" t="inlineStr">
        <is>
          <t>Yahoo Finance — NOW comps market data</t>
        </is>
      </c>
      <c r="C5" s="29" t="inlineStr">
        <is>
          <t>https://finance.yahoo.com/quote/NOW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SNOW comps market data</t>
        </is>
      </c>
      <c r="C6" s="29" t="inlineStr">
        <is>
          <t>https://finance.yahoo.com/quote/SNOW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PLTR comps market data</t>
        </is>
      </c>
      <c r="C7" s="29" t="inlineStr">
        <is>
          <t>https://finance.yahoo.com/quote/PLTR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 (5.1%)</t>
        </is>
      </c>
    </row>
    <row r="9" ht="28" customHeight="1">
      <c r="A9" s="28" t="n">
        <v>6</v>
      </c>
      <c r="B9" s="8" t="inlineStr">
        <is>
          <t>Finnhub — CRM</t>
        </is>
      </c>
      <c r="C9" s="29" t="inlineStr">
        <is>
          <t>https://finnhub.io/?q=%22CRM%22</t>
        </is>
      </c>
      <c r="D9" s="28" t="inlineStr">
        <is>
          <t>2026-10-19</t>
        </is>
      </c>
      <c r="E9" s="8" t="inlineStr">
        <is>
          <t>Beta cross-check (1.25)</t>
        </is>
      </c>
    </row>
    <row r="10" ht="28" customHeight="1">
      <c r="A10" s="28" t="n">
        <v>7</v>
      </c>
      <c r="B10" s="8" t="inlineStr">
        <is>
          <t>TipRanks — CRM statistics</t>
        </is>
      </c>
      <c r="C10" s="29" t="inlineStr">
        <is>
          <t>https://www.tipranks.com/stocks/crm/statistics</t>
        </is>
      </c>
      <c r="D10" s="28" t="inlineStr">
        <is>
          <t>2026-10-19</t>
        </is>
      </c>
      <c r="E10" s="8" t="inlineStr">
        <is>
          <t>Beta cross-check (1.08); cash/debt context</t>
        </is>
      </c>
    </row>
    <row r="11" ht="28" customHeight="1">
      <c r="A11" s="28" t="n">
        <v>8</v>
      </c>
      <c r="B11" s="8" t="inlineStr">
        <is>
          <t>A.L. Capital Advisory — CRM</t>
        </is>
      </c>
      <c r="C11" s="29" t="inlineStr">
        <is>
          <t>https://alcapitaladvisory.com/research/equities/crm.html</t>
        </is>
      </c>
      <c r="D11" s="28" t="inlineStr">
        <is>
          <t>2026-10-19</t>
        </is>
      </c>
      <c r="E11" s="8" t="inlineStr">
        <is>
          <t>Beta (1.26) and fair-value context</t>
        </is>
      </c>
    </row>
    <row r="12" ht="28" customHeight="1">
      <c r="A12" s="28" t="n">
        <v>9</v>
      </c>
      <c r="B12" s="8" t="inlineStr">
        <is>
          <t>StockAlert — CRM</t>
        </is>
      </c>
      <c r="C12" s="29" t="inlineStr">
        <is>
          <t>https://stockalert.pro/stocks/CRM</t>
        </is>
      </c>
      <c r="D12" s="28" t="inlineStr">
        <is>
          <t>2026-10-19</t>
        </is>
      </c>
      <c r="E12" s="8" t="inlineStr">
        <is>
          <t>Beta (1.26), forward P/E context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2026-10-19T15:39:08+00:00Z</dcterms:created>
  <dcterms:modified xmlns:dcterms="http://purl.org/dc/terms/" xmlns:xsi="http://www.w3.org/2001/XMLSchema-instance" xsi:type="dcterms:W3CDTF">2026-10-19T15:39:08+00:00Z</dcterms:modified>
</cp:coreProperties>
</file>