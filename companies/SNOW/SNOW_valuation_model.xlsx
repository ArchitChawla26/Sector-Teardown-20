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DCF_Bear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#,##0.0"/>
    <numFmt numFmtId="167" formatCode="0.000"/>
    <numFmt numFmtId="168" formatCode="#,##0.0&quot;x&quot;"/>
  </numFmts>
  <fonts count="13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sz val="12"/>
    </font>
    <font>
      <name val="Calibri"/>
      <b val="1"/>
      <color rgb="00C00000"/>
      <sz val="12"/>
    </font>
    <font>
      <name val="Calibri"/>
      <sz val="11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8"/>
      <sz val="11"/>
    </font>
    <font>
      <name val="Calibri"/>
      <b val="1"/>
      <sz val="9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  <xf numFmtId="165" fontId="0" fillId="2" borderId="0" pivotButton="0" quotePrefix="0" xfId="0"/>
    <xf numFmtId="0" fontId="9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2" fontId="0" fillId="2" borderId="0" pivotButton="0" quotePrefix="0" xfId="0"/>
    <xf numFmtId="165" fontId="0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166" fontId="0" fillId="2" borderId="0" pivotButton="0" quotePrefix="0" xfId="0"/>
    <xf numFmtId="0" fontId="11" fillId="5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8" fontId="0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https://finance.yahoo.com/quote/SNOW" TargetMode="External" Id="rId1"/><Relationship Type="http://schemas.openxmlformats.org/officeDocument/2006/relationships/hyperlink" Target="https://finance.yahoo.com/quote/CRM" TargetMode="External" Id="rId2"/><Relationship Type="http://schemas.openxmlformats.org/officeDocument/2006/relationships/hyperlink" Target="https://finance.yahoo.com/quote/NOW" TargetMode="External" Id="rId3"/><Relationship Type="http://schemas.openxmlformats.org/officeDocument/2006/relationships/hyperlink" Target="https://finance.yahoo.com/quote/PLTR" TargetMode="External" Id="rId4"/><Relationship Type="http://schemas.openxmlformats.org/officeDocument/2006/relationships/hyperlink" Target="https://www.reuters.com/business/wall-st-futures-climb-ai-stocks-rebound-oil-yields-fall-2026-10-19/" TargetMode="External" Id="rId5"/><Relationship Type="http://schemas.openxmlformats.org/officeDocument/2006/relationships/hyperlink" Target="https://www.marketbeat.com/stocks/NYSE/SNOW/" TargetMode="External" Id="rId6"/><Relationship Type="http://schemas.openxmlformats.org/officeDocument/2006/relationships/hyperlink" Target="https://alcapitaladvisory.com/research/equities/snow.html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10" customWidth="1" min="3" max="3"/>
    <col width="10" customWidth="1" min="4" max="4"/>
  </cols>
  <sheetData>
    <row r="1" ht="24" customHeight="1">
      <c r="A1" s="1" t="inlineStr">
        <is>
          <t>Equity Research Teardown — Snowflake Inc. (NYSE: SNOW)</t>
        </is>
      </c>
    </row>
    <row r="2" ht="18" customHeight="1">
      <c r="A2" s="2" t="inlineStr">
        <is>
          <t>Independent equity research project by Archit Chawla  |  As of October 19, 2026</t>
        </is>
      </c>
    </row>
    <row r="4">
      <c r="A4" s="3" t="inlineStr">
        <is>
          <t>Current price (Oct 16, 2026 close)</t>
        </is>
      </c>
      <c r="B4" s="4" t="n">
        <v>306.84</v>
      </c>
    </row>
    <row r="5">
      <c r="A5" s="3" t="inlineStr">
        <is>
          <t>Recommendation</t>
        </is>
      </c>
      <c r="B5" s="5" t="inlineStr">
        <is>
          <t>PASS</t>
        </is>
      </c>
    </row>
    <row r="6">
      <c r="A6" s="3" t="inlineStr">
        <is>
          <t>One-line thesis</t>
        </is>
      </c>
      <c r="B6" s="6" t="inlineStr">
        <is>
          <t>Never GAAP-profitable and priced as if profitability is assured: even modeling a full march to 18% EBITDA margins and 37% FCF margins, the DCF base sits ~57% below $306.84.</t>
        </is>
      </c>
    </row>
    <row r="8">
      <c r="A8" s="7" t="inlineStr">
        <is>
          <t>Contents</t>
        </is>
      </c>
    </row>
    <row r="9">
      <c r="A9" s="7" t="inlineStr">
        <is>
          <t>Assumptions</t>
        </is>
      </c>
      <c r="B9" s="8" t="inlineStr">
        <is>
          <t>WACC build and all forecast drivers; [DATA] vs [JUDGMENT] tags</t>
        </is>
      </c>
    </row>
    <row r="10">
      <c r="A10" s="7" t="inlineStr">
        <is>
          <t>Historicals</t>
        </is>
      </c>
      <c r="B10" s="8" t="inlineStr">
        <is>
          <t>FY2023–FY2026 financials (fiscal year ends Jan 31) from Yahoo Finance annual statements</t>
        </is>
      </c>
    </row>
    <row r="11">
      <c r="A11" s="7" t="inlineStr">
        <is>
          <t>DCF_Base / DCF_Bull / DCF_Bear</t>
        </is>
      </c>
      <c r="B11" s="8" t="inlineStr">
        <is>
          <t>5-year DCF per case; all formulas live</t>
        </is>
      </c>
    </row>
    <row r="12">
      <c r="A12" s="7" t="inlineStr">
        <is>
          <t>Comps</t>
        </is>
      </c>
      <c r="B12" s="8" t="inlineStr">
        <is>
          <t>CRM, NOW, PLTR multiples and SNOW-implied ranges</t>
        </is>
      </c>
    </row>
    <row r="13">
      <c r="A13" s="7" t="inlineStr">
        <is>
          <t>Checks</t>
        </is>
      </c>
      <c r="B13" s="8" t="inlineStr">
        <is>
          <t>Verification appendix: tie-outs and data sources</t>
        </is>
      </c>
    </row>
    <row r="14">
      <c r="A14" s="7" t="inlineStr">
        <is>
          <t>Sources</t>
        </is>
      </c>
      <c r="B14" s="8" t="inlineStr">
        <is>
          <t>Full URLs and access dates</t>
        </is>
      </c>
    </row>
    <row r="16">
      <c r="A16" s="9" t="inlineStr">
        <is>
          <t>Disclaimer: Independent project for skill demonstration; not investment advice.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60" customWidth="1" min="8" max="8"/>
  </cols>
  <sheetData>
    <row r="1" ht="24" customHeight="1">
      <c r="A1" s="1" t="inlineStr">
        <is>
          <t>Assumptions</t>
        </is>
      </c>
    </row>
    <row r="2" ht="18" customHeight="1">
      <c r="A2" s="2" t="inlineStr">
        <is>
          <t>Blue cells are inputs. [DATA] = market/filing data; [JUDGMENT] = analyst estimate with rationale.</t>
        </is>
      </c>
    </row>
    <row r="3">
      <c r="A3" s="10" t="inlineStr">
        <is>
          <t>WACC build</t>
        </is>
      </c>
    </row>
    <row r="4">
      <c r="A4" s="3" t="inlineStr">
        <is>
          <t>Risk-free rate (US 10Y)</t>
        </is>
      </c>
      <c r="B4" s="11" t="n">
        <v>0.051</v>
      </c>
      <c r="C4" s="12" t="inlineStr">
        <is>
          <t>[DATA]</t>
        </is>
      </c>
      <c r="D4" s="13" t="inlineStr">
        <is>
          <t>5.1% on 2026-10-19 (Reuters); verified for this project</t>
        </is>
      </c>
    </row>
    <row r="5">
      <c r="A5" s="3" t="inlineStr">
        <is>
          <t>Equity risk premium</t>
        </is>
      </c>
      <c r="B5" s="11" t="n">
        <v>0.045</v>
      </c>
      <c r="C5" s="14" t="inlineStr">
        <is>
          <t>[JUDGMENT]</t>
        </is>
      </c>
      <c r="D5" s="13" t="inlineStr">
        <is>
          <t>Long-run US ERP assumption (shared framework)</t>
        </is>
      </c>
    </row>
    <row r="6">
      <c r="A6" s="3" t="inlineStr">
        <is>
          <t>Beta (SNOW)</t>
        </is>
      </c>
      <c r="B6" s="15" t="n">
        <v>1.35</v>
      </c>
      <c r="C6" s="12" t="inlineStr">
        <is>
          <t>[DATA]</t>
        </is>
      </c>
      <c r="D6" s="13" t="inlineStr">
        <is>
          <t>Yahoo Finance 1.35 (2026-10-19); cross-checked 1.35 MarketBeat</t>
        </is>
      </c>
    </row>
    <row r="7">
      <c r="A7" s="3" t="inlineStr">
        <is>
          <t>Cost of equity (CAPM)</t>
        </is>
      </c>
      <c r="B7" s="16">
        <f>Assumptions!$B$4+Assumptions!$B$6*Assumptions!$B$5</f>
        <v/>
      </c>
      <c r="C7" s="17" t="inlineStr">
        <is>
          <t>[CALC]</t>
        </is>
      </c>
      <c r="D7" s="13" t="inlineStr">
        <is>
          <t>Rf + beta × ERP</t>
        </is>
      </c>
    </row>
    <row r="8">
      <c r="A8" s="3" t="inlineStr">
        <is>
          <t>Pre-tax cost of debt</t>
        </is>
      </c>
      <c r="B8" s="11" t="n">
        <v>0.055</v>
      </c>
      <c r="C8" s="14" t="inlineStr">
        <is>
          <t>[JUDGMENT]</t>
        </is>
      </c>
      <c r="D8" s="13" t="inlineStr">
        <is>
          <t>Convertible notes outstanding; 5.5% through-cycle new-issue estimate</t>
        </is>
      </c>
    </row>
    <row r="9">
      <c r="A9" s="3" t="inlineStr">
        <is>
          <t>Marginal tax rate</t>
        </is>
      </c>
      <c r="B9" s="11" t="n">
        <v>0.21</v>
      </c>
      <c r="C9" s="14" t="inlineStr">
        <is>
          <t>[JUDGMENT]</t>
        </is>
      </c>
      <c r="D9" s="13" t="inlineStr">
        <is>
          <t>21% statutory applied only when EBIT &gt; 0 (formula floors tax at zero); EBIT is negative all five forecast years — NOL position, no cash taxes modeled</t>
        </is>
      </c>
    </row>
    <row r="10">
      <c r="A10" s="3" t="inlineStr">
        <is>
          <t>After-tax cost of debt</t>
        </is>
      </c>
      <c r="B10" s="16">
        <f>Assumptions!$B$8*(1-Assumptions!$B$9)</f>
        <v/>
      </c>
      <c r="C10" s="17" t="inlineStr">
        <is>
          <t>[CALC]</t>
        </is>
      </c>
      <c r="D10" s="13" t="inlineStr"/>
    </row>
    <row r="11">
      <c r="A11" s="3" t="inlineStr">
        <is>
          <t>Market value of equity ($M)</t>
        </is>
      </c>
      <c r="B11" s="18" t="n">
        <v>103558.5</v>
      </c>
      <c r="C11" s="12" t="inlineStr">
        <is>
          <t>[DATA]</t>
        </is>
      </c>
      <c r="D11" s="13" t="inlineStr">
        <is>
          <t>Oct 16 close $306.84 × 337.5M diluted shares = $103,559M</t>
        </is>
      </c>
    </row>
    <row r="12">
      <c r="A12" s="3" t="inlineStr">
        <is>
          <t>Book value of debt ($M)</t>
        </is>
      </c>
      <c r="B12" s="18" t="n">
        <v>2763.8</v>
      </c>
      <c r="C12" s="12" t="inlineStr">
        <is>
          <t>[DATA]</t>
        </is>
      </c>
      <c r="D12" s="13" t="inlineStr">
        <is>
          <t>Q2 FY2027 balance sheet, 2026-07-31 (Yahoo Finance)</t>
        </is>
      </c>
    </row>
    <row r="13">
      <c r="A13" s="3" t="inlineStr">
        <is>
          <t>Weight of equity</t>
        </is>
      </c>
      <c r="B13" s="16">
        <f>Assumptions!$B$11/(Assumptions!$B$11+Assumptions!$B$12)</f>
        <v/>
      </c>
      <c r="C13" s="17" t="inlineStr">
        <is>
          <t>[CALC]</t>
        </is>
      </c>
      <c r="D13" s="13" t="inlineStr"/>
    </row>
    <row r="14">
      <c r="A14" s="3" t="inlineStr">
        <is>
          <t>Weight of debt</t>
        </is>
      </c>
      <c r="B14" s="16">
        <f>Assumptions!$B$12/(Assumptions!$B$11+Assumptions!$B$12)</f>
        <v/>
      </c>
      <c r="C14" s="17" t="inlineStr">
        <is>
          <t>[CALC]</t>
        </is>
      </c>
      <c r="D14" s="13" t="inlineStr"/>
    </row>
    <row r="15">
      <c r="A15" s="3" t="inlineStr">
        <is>
          <t>WACC — base case</t>
        </is>
      </c>
      <c r="B15" s="16">
        <f>Assumptions!$B$13*Assumptions!$B$7+Assumptions!$B$14*Assumptions!$B$10</f>
        <v/>
      </c>
      <c r="C15" s="17" t="inlineStr">
        <is>
          <t>[CALC]</t>
        </is>
      </c>
      <c r="D15" s="13" t="inlineStr"/>
    </row>
    <row r="16">
      <c r="A16" s="3" t="inlineStr">
        <is>
          <t>WACC — bull case (-100 bps)</t>
        </is>
      </c>
      <c r="B16" s="16">
        <f>Assumptions!$B$15-0.01</f>
        <v/>
      </c>
      <c r="C16" s="17" t="inlineStr">
        <is>
          <t>[CALC]</t>
        </is>
      </c>
      <c r="D16" s="13" t="inlineStr">
        <is>
          <t>Rate-normalization scenario</t>
        </is>
      </c>
    </row>
    <row r="17">
      <c r="A17" s="3" t="inlineStr">
        <is>
          <t>WACC — bear case (+100 bps)</t>
        </is>
      </c>
      <c r="B17" s="16">
        <f>Assumptions!$B$15+0.01</f>
        <v/>
      </c>
      <c r="C17" s="17" t="inlineStr">
        <is>
          <t>[CALC]</t>
        </is>
      </c>
      <c r="D17" s="13" t="inlineStr">
        <is>
          <t>Higher-for-longer scenario</t>
        </is>
      </c>
    </row>
    <row r="19">
      <c r="A19" s="10" t="inlineStr">
        <is>
          <t>Forecast drivers (FY2027–FY2031 (fiscal; maps to calendar 2026–2030))</t>
        </is>
      </c>
    </row>
    <row r="20">
      <c r="B20" s="19" t="inlineStr">
        <is>
          <t>FY2027</t>
        </is>
      </c>
      <c r="C20" s="19" t="inlineStr">
        <is>
          <t>FY2028</t>
        </is>
      </c>
      <c r="D20" s="19" t="inlineStr">
        <is>
          <t>FY2029</t>
        </is>
      </c>
      <c r="E20" s="19" t="inlineStr">
        <is>
          <t>FY2030</t>
        </is>
      </c>
      <c r="F20" s="19" t="inlineStr">
        <is>
          <t>FY2031</t>
        </is>
      </c>
    </row>
    <row r="21">
      <c r="A21" s="3" t="inlineStr">
        <is>
          <t>Revenue growth — base</t>
        </is>
      </c>
      <c r="B21" s="11" t="n">
        <v>0.28</v>
      </c>
      <c r="C21" s="11" t="n">
        <v>0.25</v>
      </c>
      <c r="D21" s="11" t="n">
        <v>0.22</v>
      </c>
      <c r="E21" s="11" t="n">
        <v>0.2</v>
      </c>
      <c r="F21" s="11" t="n">
        <v>0.18</v>
      </c>
      <c r="G21" s="14" t="inlineStr">
        <is>
          <t>[JUDGMENT]</t>
        </is>
      </c>
      <c r="H21" s="13" t="inlineStr">
        <is>
          <t>Taper from 29.2% (FY2026); product-revenue guide ~25%+; consumption model</t>
        </is>
      </c>
    </row>
    <row r="22">
      <c r="A22" s="3" t="inlineStr">
        <is>
          <t>Revenue growth — bull</t>
        </is>
      </c>
      <c r="B22" s="11" t="n">
        <v>0.33</v>
      </c>
      <c r="C22" s="11" t="n">
        <v>0.3</v>
      </c>
      <c r="D22" s="11" t="n">
        <v>0.27</v>
      </c>
      <c r="E22" s="11" t="n">
        <v>0.24</v>
      </c>
      <c r="F22" s="11" t="n">
        <v>0.21</v>
      </c>
      <c r="G22" s="14" t="inlineStr">
        <is>
          <t>[JUDGMENT]</t>
        </is>
      </c>
      <c r="H22" s="13" t="inlineStr">
        <is>
          <t>AI data-cloud workloads accelerate consumption growth</t>
        </is>
      </c>
    </row>
    <row r="23">
      <c r="A23" s="3" t="inlineStr">
        <is>
          <t>Revenue growth — bear</t>
        </is>
      </c>
      <c r="B23" s="11" t="n">
        <v>0.22</v>
      </c>
      <c r="C23" s="11" t="n">
        <v>0.18</v>
      </c>
      <c r="D23" s="11" t="n">
        <v>0.15</v>
      </c>
      <c r="E23" s="11" t="n">
        <v>0.12</v>
      </c>
      <c r="F23" s="11" t="n">
        <v>0.1</v>
      </c>
      <c r="G23" s="14" t="inlineStr">
        <is>
          <t>[JUDGMENT]</t>
        </is>
      </c>
      <c r="H23" s="13" t="inlineStr">
        <is>
          <t>Consumption slowdown; hyperscaler competition</t>
        </is>
      </c>
    </row>
    <row r="24">
      <c r="A24" s="3" t="inlineStr">
        <is>
          <t>EBITDA margin — base</t>
        </is>
      </c>
      <c r="B24" s="11" t="n">
        <v>-0.15</v>
      </c>
      <c r="C24" s="11" t="n">
        <v>-0.05</v>
      </c>
      <c r="D24" s="11" t="n">
        <v>0.05</v>
      </c>
      <c r="E24" s="11" t="n">
        <v>0.12</v>
      </c>
      <c r="F24" s="11" t="n">
        <v>0.18</v>
      </c>
      <c r="G24" s="14" t="inlineStr">
        <is>
          <t>[JUDGMENT]</t>
        </is>
      </c>
      <c r="H24" s="13" t="inlineStr">
        <is>
          <t>FY2026: –23.1%; path to +18% by FY2031 on operating leverage. Implies FCF-margin ramp 16.1% → 37.9% [JUDGMENT]</t>
        </is>
      </c>
    </row>
    <row r="25">
      <c r="A25" s="3" t="inlineStr">
        <is>
          <t>EBITDA margin — bull</t>
        </is>
      </c>
      <c r="B25" s="11" t="n">
        <v>-0.12</v>
      </c>
      <c r="C25" s="11" t="n">
        <v>0</v>
      </c>
      <c r="D25" s="11" t="n">
        <v>0.1</v>
      </c>
      <c r="E25" s="11" t="n">
        <v>0.17</v>
      </c>
      <c r="F25" s="11" t="n">
        <v>0.23</v>
      </c>
      <c r="G25" s="14" t="inlineStr">
        <is>
          <t>[JUDGMENT]</t>
        </is>
      </c>
      <c r="H25" s="13" t="inlineStr">
        <is>
          <t>Faster leverage; implies FCF margin 19.2% → 42.0%</t>
        </is>
      </c>
    </row>
    <row r="26">
      <c r="A26" s="3" t="inlineStr">
        <is>
          <t>EBITDA margin — bear</t>
        </is>
      </c>
      <c r="B26" s="11" t="n">
        <v>-0.18</v>
      </c>
      <c r="C26" s="11" t="n">
        <v>-0.12</v>
      </c>
      <c r="D26" s="11" t="n">
        <v>-0.05</v>
      </c>
      <c r="E26" s="11" t="n">
        <v>0.02</v>
      </c>
      <c r="F26" s="11" t="n">
        <v>0.08</v>
      </c>
      <c r="G26" s="14" t="inlineStr">
        <is>
          <t>[JUDGMENT]</t>
        </is>
      </c>
      <c r="H26" s="13" t="inlineStr">
        <is>
          <t>Slower leverage; implies FCF margin 12.9% → 29.7%</t>
        </is>
      </c>
    </row>
    <row r="28">
      <c r="A28" s="3" t="inlineStr">
        <is>
          <t>D&amp;A (% of revenue)</t>
        </is>
      </c>
      <c r="B28" s="11" t="n">
        <v>0.045</v>
      </c>
      <c r="G28" s="14" t="inlineStr">
        <is>
          <t>[JUDGMENT]</t>
        </is>
      </c>
      <c r="H28" s="13" t="inlineStr">
        <is>
          <t>FY2026 CF D&amp;A $220M = 4.7% of revenue (IS row not broken out in source)</t>
        </is>
      </c>
    </row>
    <row r="29">
      <c r="A29" s="3" t="inlineStr">
        <is>
          <t>Stock-based comp. (% of revenue)</t>
        </is>
      </c>
      <c r="B29" s="11" t="n">
        <v>0.32</v>
      </c>
      <c r="C29" s="11" t="n">
        <v>0.3</v>
      </c>
      <c r="D29" s="11" t="n">
        <v>0.28</v>
      </c>
      <c r="E29" s="11" t="n">
        <v>0.26</v>
      </c>
      <c r="F29" s="11" t="n">
        <v>0.24</v>
      </c>
      <c r="G29" s="14" t="inlineStr">
        <is>
          <t>[JUDGMENT]</t>
        </is>
      </c>
      <c r="H29" s="13" t="inlineStr">
        <is>
          <t>FY2026: 34.2% ($1,600M) — heaviest in the peer set; declining with scale; added back in the FCF bridge and disclosed</t>
        </is>
      </c>
    </row>
    <row r="30">
      <c r="A30" s="3" t="inlineStr">
        <is>
          <t>Capex (% of revenue)</t>
        </is>
      </c>
      <c r="B30" s="11" t="n">
        <v>0.02</v>
      </c>
      <c r="G30" s="14" t="inlineStr">
        <is>
          <t>[JUDGMENT]</t>
        </is>
      </c>
      <c r="H30" s="13" t="inlineStr">
        <is>
          <t>FY2026: 2.2%</t>
        </is>
      </c>
    </row>
    <row r="31">
      <c r="A31" s="3" t="inlineStr">
        <is>
          <t>Change in NWC (% of revenue growth)</t>
        </is>
      </c>
      <c r="B31" s="11" t="n">
        <v>-0.05</v>
      </c>
      <c r="G31" s="14" t="inlineStr">
        <is>
          <t>[JUDGMENT]</t>
        </is>
      </c>
      <c r="H31" s="13" t="inlineStr">
        <is>
          <t>Negative = WC source: deferred-revenue tailwind; FY2026 dWC was +36% of revenue growth</t>
        </is>
      </c>
    </row>
    <row r="32">
      <c r="A32" s="3" t="inlineStr">
        <is>
          <t>Terminal growth — base</t>
        </is>
      </c>
      <c r="B32" s="11" t="n">
        <v>0.03</v>
      </c>
      <c r="G32" s="14" t="inlineStr">
        <is>
          <t>[JUDGMENT]</t>
        </is>
      </c>
      <c r="H32" s="13" t="inlineStr">
        <is>
          <t>Long-run nominal GDP (shared framework)</t>
        </is>
      </c>
    </row>
    <row r="33">
      <c r="A33" s="3" t="inlineStr">
        <is>
          <t>Terminal growth — bull</t>
        </is>
      </c>
      <c r="B33" s="11" t="n">
        <v>0.035</v>
      </c>
      <c r="G33" s="14" t="inlineStr">
        <is>
          <t>[JUDGMENT]</t>
        </is>
      </c>
      <c r="H33" s="13" t="inlineStr"/>
    </row>
    <row r="34">
      <c r="A34" s="3" t="inlineStr">
        <is>
          <t>Terminal growth — bear</t>
        </is>
      </c>
      <c r="B34" s="11" t="n">
        <v>0.02</v>
      </c>
      <c r="G34" s="14" t="inlineStr">
        <is>
          <t>[JUDGMENT]</t>
        </is>
      </c>
      <c r="H34" s="13" t="inlineStr"/>
    </row>
    <row r="35">
      <c r="A35" s="3" t="inlineStr">
        <is>
          <t>Net debt ($M)</t>
        </is>
      </c>
      <c r="B35" s="18" t="n">
        <v>1056.6</v>
      </c>
      <c r="G35" s="12" t="inlineStr">
        <is>
          <t>[DATA]</t>
        </is>
      </c>
      <c r="H35" s="13" t="inlineStr">
        <is>
          <t>Q2 FY2027: total debt $2,764M less cash $1,707M = net debt $1,057M</t>
        </is>
      </c>
    </row>
    <row r="36">
      <c r="A36" s="3" t="inlineStr">
        <is>
          <t>Diluted shares outstanding (M)</t>
        </is>
      </c>
      <c r="B36" s="18" t="n">
        <v>337.5</v>
      </c>
      <c r="G36" s="12" t="inlineStr">
        <is>
          <t>[DATA]</t>
        </is>
      </c>
      <c r="H36" s="13" t="inlineStr">
        <is>
          <t>FY2026 diluted weighted average 337.5M (10-K via Yahoo); basic outstanding 352.8M per Yahoo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Historical financials — SNOW</t>
        </is>
      </c>
    </row>
    <row r="2" ht="18" customHeight="1">
      <c r="A2" s="2" t="inlineStr">
        <is>
          <t>$ millions. Source: Yahoo Finance annual statements (filing-derived), as of 2026-10-19. FY2023–FY2026 (fiscal year ends Jan 31; all four years available in source).</t>
        </is>
      </c>
    </row>
    <row r="3">
      <c r="A3" s="20" t="inlineStr"/>
      <c r="B3" s="20" t="inlineStr">
        <is>
          <t>FY2023</t>
        </is>
      </c>
      <c r="C3" s="20" t="inlineStr">
        <is>
          <t>FY2024</t>
        </is>
      </c>
      <c r="D3" s="20" t="inlineStr">
        <is>
          <t>FY2025</t>
        </is>
      </c>
      <c r="E3" s="20" t="inlineStr">
        <is>
          <t>FY2026</t>
        </is>
      </c>
    </row>
    <row r="4">
      <c r="A4" s="3" t="inlineStr">
        <is>
          <t>Total revenue</t>
        </is>
      </c>
      <c r="B4" s="21" t="n">
        <v>2065.7</v>
      </c>
      <c r="C4" s="21" t="n">
        <v>2806.5</v>
      </c>
      <c r="D4" s="21" t="n">
        <v>3626.4</v>
      </c>
      <c r="E4" s="21" t="n">
        <v>4683.9</v>
      </c>
    </row>
    <row r="5">
      <c r="A5" s="3" t="inlineStr">
        <is>
          <t>Gross profit</t>
        </is>
      </c>
      <c r="B5" s="21" t="n">
        <v>1348.1</v>
      </c>
      <c r="C5" s="21" t="n">
        <v>1907.9</v>
      </c>
      <c r="D5" s="21" t="n">
        <v>2411.7</v>
      </c>
      <c r="E5" s="21" t="n">
        <v>3146.1</v>
      </c>
    </row>
    <row r="6">
      <c r="A6" s="3" t="inlineStr">
        <is>
          <t>EBITDA</t>
        </is>
      </c>
      <c r="B6" s="21" t="n">
        <v>-752.5</v>
      </c>
      <c r="C6" s="21" t="n">
        <v>-729.3</v>
      </c>
      <c r="D6" s="21" t="n">
        <v>-1099.8</v>
      </c>
      <c r="E6" s="21" t="n">
        <v>-1083.2</v>
      </c>
    </row>
    <row r="7">
      <c r="A7" s="3" t="inlineStr">
        <is>
          <t>EBITDA margin</t>
        </is>
      </c>
      <c r="B7" s="16">
        <f>B6/B4</f>
        <v/>
      </c>
      <c r="C7" s="16">
        <f>C6/C4</f>
        <v/>
      </c>
      <c r="D7" s="16">
        <f>D6/D4</f>
        <v/>
      </c>
      <c r="E7" s="16">
        <f>E6/E4</f>
        <v/>
      </c>
    </row>
    <row r="8">
      <c r="A8" s="3" t="inlineStr">
        <is>
          <t>Operating income</t>
        </is>
      </c>
      <c r="B8" s="21" t="n">
        <v>-842.3</v>
      </c>
      <c r="C8" s="21" t="n">
        <v>-1094.8</v>
      </c>
      <c r="D8" s="21" t="n">
        <v>-1456</v>
      </c>
      <c r="E8" s="21" t="n">
        <v>-1435.2</v>
      </c>
    </row>
    <row r="9">
      <c r="A9" s="3" t="inlineStr">
        <is>
          <t>Net income</t>
        </is>
      </c>
      <c r="B9" s="21" t="n">
        <v>-796.7</v>
      </c>
      <c r="C9" s="21" t="n">
        <v>-836.1</v>
      </c>
      <c r="D9" s="21" t="n">
        <v>-1285.6</v>
      </c>
      <c r="E9" s="21" t="n">
        <v>-1331.6</v>
      </c>
    </row>
    <row r="10">
      <c r="A10" s="3" t="inlineStr">
        <is>
          <t>Diluted average shares (M)</t>
        </is>
      </c>
      <c r="B10" s="21" t="n">
        <v>318.7</v>
      </c>
      <c r="C10" s="21" t="n">
        <v>328</v>
      </c>
      <c r="D10" s="21" t="n">
        <v>332.7</v>
      </c>
      <c r="E10" s="21" t="n">
        <v>337.5</v>
      </c>
    </row>
    <row r="11">
      <c r="A11" s="3" t="inlineStr">
        <is>
          <t>Operating cash flow</t>
        </is>
      </c>
      <c r="B11" s="21" t="n">
        <v>545.6</v>
      </c>
      <c r="C11" s="21" t="n">
        <v>848.1</v>
      </c>
      <c r="D11" s="21" t="n">
        <v>959.8</v>
      </c>
      <c r="E11" s="21" t="n">
        <v>1221.9</v>
      </c>
    </row>
    <row r="12">
      <c r="A12" s="3" t="inlineStr">
        <is>
          <t>Capital expenditures</t>
        </is>
      </c>
      <c r="B12" s="21" t="n">
        <v>-49.8</v>
      </c>
      <c r="C12" s="21" t="n">
        <v>-98</v>
      </c>
      <c r="D12" s="21" t="n">
        <v>-75.7</v>
      </c>
      <c r="E12" s="21" t="n">
        <v>-104.7</v>
      </c>
    </row>
    <row r="13">
      <c r="A13" s="3" t="inlineStr">
        <is>
          <t>Free cash flow</t>
        </is>
      </c>
      <c r="B13" s="21" t="n">
        <v>495.8</v>
      </c>
      <c r="C13" s="21" t="n">
        <v>750.2</v>
      </c>
      <c r="D13" s="21" t="n">
        <v>884.1</v>
      </c>
      <c r="E13" s="21" t="n">
        <v>1117.2</v>
      </c>
    </row>
    <row r="14">
      <c r="A14" s="3" t="inlineStr">
        <is>
          <t>Cash &amp; equivalents</t>
        </is>
      </c>
      <c r="B14" s="21" t="n">
        <v>939.9</v>
      </c>
      <c r="C14" s="21" t="n">
        <v>1762.7</v>
      </c>
      <c r="D14" s="21" t="n">
        <v>2628.8</v>
      </c>
      <c r="E14" s="21" t="n">
        <v>2828.2</v>
      </c>
    </row>
    <row r="15">
      <c r="A15" s="3" t="inlineStr">
        <is>
          <t>Total debt</t>
        </is>
      </c>
      <c r="B15" s="21" t="n">
        <v>251.7</v>
      </c>
      <c r="C15" s="21" t="n">
        <v>288</v>
      </c>
      <c r="D15" s="21" t="n">
        <v>2685.3</v>
      </c>
      <c r="E15" s="21" t="n">
        <v>2741.1</v>
      </c>
    </row>
    <row r="16">
      <c r="A16" s="3" t="inlineStr">
        <is>
          <t>Revenue growth</t>
        </is>
      </c>
      <c r="B16" s="16" t="n"/>
      <c r="C16" s="16">
        <f>C4/B4-1</f>
        <v/>
      </c>
      <c r="D16" s="16">
        <f>D4/C4-1</f>
        <v/>
      </c>
      <c r="E16" s="16">
        <f>E4/D4-1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Snowflake Inc. (SNOW) — Discounted cash flow — base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Historicals!$E$4*(1+Assumptions!B$21)</f>
        <v/>
      </c>
      <c r="C4" s="21">
        <f>B4*(1+Assumptions!C$21)</f>
        <v/>
      </c>
      <c r="D4" s="21">
        <f>C4*(1+Assumptions!D$21)</f>
        <v/>
      </c>
      <c r="E4" s="21">
        <f>D4*(1+Assumptions!E$21)</f>
        <v/>
      </c>
      <c r="F4" s="21">
        <f>E4*(1+Assumptions!F$21)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Assumptions!B$24</f>
        <v/>
      </c>
      <c r="C6" s="16">
        <f>Assumptions!C$24</f>
        <v/>
      </c>
      <c r="D6" s="16">
        <f>Assumptions!D$24</f>
        <v/>
      </c>
      <c r="E6" s="16">
        <f>Assumptions!E$24</f>
        <v/>
      </c>
      <c r="F6" s="16">
        <f>Assumptions!F$24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MAX(B9,0)*B10</f>
        <v/>
      </c>
      <c r="C11" s="21">
        <f>MAX(C9,0)*C10</f>
        <v/>
      </c>
      <c r="D11" s="21">
        <f>MAX(D9,0)*D10</f>
        <v/>
      </c>
      <c r="E11" s="21">
        <f>MAX(E9,0)*E10</f>
        <v/>
      </c>
      <c r="F11" s="21">
        <f>MAX(F9,0)*F10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1/(1+Assumptions!$B$15)^1</f>
        <v/>
      </c>
      <c r="C17" s="22">
        <f>1/(1+Assumptions!$B$15)^2</f>
        <v/>
      </c>
      <c r="D17" s="22">
        <f>1/(1+Assumptions!$B$15)^3</f>
        <v/>
      </c>
      <c r="E17" s="22">
        <f>1/(1+Assumptions!$B$15)^4</f>
        <v/>
      </c>
      <c r="F17" s="22">
        <f>1/(1+Assumptions!$B$15)^5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F16*(1+Assumptions!$B$32)/(Assumptions!$B$15-Assumptions!$B$32)</f>
        <v/>
      </c>
    </row>
    <row r="21">
      <c r="A21" s="3" t="inlineStr">
        <is>
          <t>PV of terminal value</t>
        </is>
      </c>
      <c r="B21" s="21">
        <f>B20/(1+Assumptions!$B$15)^5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Snowflake Inc. (SNOW) — Discounted cash flow — bull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Historicals!$E$4*(1+Assumptions!B$22)</f>
        <v/>
      </c>
      <c r="C4" s="21">
        <f>B4*(1+Assumptions!C$22)</f>
        <v/>
      </c>
      <c r="D4" s="21">
        <f>C4*(1+Assumptions!D$22)</f>
        <v/>
      </c>
      <c r="E4" s="21">
        <f>D4*(1+Assumptions!E$22)</f>
        <v/>
      </c>
      <c r="F4" s="21">
        <f>E4*(1+Assumptions!F$22)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Assumptions!B$25</f>
        <v/>
      </c>
      <c r="C6" s="16">
        <f>Assumptions!C$25</f>
        <v/>
      </c>
      <c r="D6" s="16">
        <f>Assumptions!D$25</f>
        <v/>
      </c>
      <c r="E6" s="16">
        <f>Assumptions!E$25</f>
        <v/>
      </c>
      <c r="F6" s="16">
        <f>Assumptions!F$25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MAX(B9,0)*B10</f>
        <v/>
      </c>
      <c r="C11" s="21">
        <f>MAX(C9,0)*C10</f>
        <v/>
      </c>
      <c r="D11" s="21">
        <f>MAX(D9,0)*D10</f>
        <v/>
      </c>
      <c r="E11" s="21">
        <f>MAX(E9,0)*E10</f>
        <v/>
      </c>
      <c r="F11" s="21">
        <f>MAX(F9,0)*F10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1/(1+Assumptions!$B$16)^1</f>
        <v/>
      </c>
      <c r="C17" s="22">
        <f>1/(1+Assumptions!$B$16)^2</f>
        <v/>
      </c>
      <c r="D17" s="22">
        <f>1/(1+Assumptions!$B$16)^3</f>
        <v/>
      </c>
      <c r="E17" s="22">
        <f>1/(1+Assumptions!$B$16)^4</f>
        <v/>
      </c>
      <c r="F17" s="22">
        <f>1/(1+Assumptions!$B$16)^5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F16*(1+Assumptions!$B$33)/(Assumptions!$B$16-Assumptions!$B$33)</f>
        <v/>
      </c>
    </row>
    <row r="21">
      <c r="A21" s="3" t="inlineStr">
        <is>
          <t>PV of terminal value</t>
        </is>
      </c>
      <c r="B21" s="21">
        <f>B20/(1+Assumptions!$B$16)^5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4" customHeight="1">
      <c r="A1" s="1" t="inlineStr">
        <is>
          <t>Snowflake Inc. (SNOW) — Discounted cash flow — bear case</t>
        </is>
      </c>
    </row>
    <row r="2" ht="18" customHeight="1">
      <c r="A2" s="2" t="inlineStr">
        <is>
          <t>$ millions, except per-share. All formulas reference Assumptions / Historicals.</t>
        </is>
      </c>
    </row>
    <row r="3">
      <c r="A3" s="20" t="inlineStr"/>
      <c r="B3" s="20" t="inlineStr">
        <is>
          <t>FY2027</t>
        </is>
      </c>
      <c r="C3" s="20" t="inlineStr">
        <is>
          <t>FY2028</t>
        </is>
      </c>
      <c r="D3" s="20" t="inlineStr">
        <is>
          <t>FY2029</t>
        </is>
      </c>
      <c r="E3" s="20" t="inlineStr">
        <is>
          <t>FY2030</t>
        </is>
      </c>
      <c r="F3" s="20" t="inlineStr">
        <is>
          <t>FY2031</t>
        </is>
      </c>
    </row>
    <row r="4">
      <c r="A4" s="3" t="inlineStr">
        <is>
          <t>Revenue</t>
        </is>
      </c>
      <c r="B4" s="21">
        <f>Historicals!$E$4*(1+Assumptions!B$23)</f>
        <v/>
      </c>
      <c r="C4" s="21">
        <f>B4*(1+Assumptions!C$23)</f>
        <v/>
      </c>
      <c r="D4" s="21">
        <f>C4*(1+Assumptions!D$23)</f>
        <v/>
      </c>
      <c r="E4" s="21">
        <f>D4*(1+Assumptions!E$23)</f>
        <v/>
      </c>
      <c r="F4" s="21">
        <f>E4*(1+Assumptions!F$23)</f>
        <v/>
      </c>
    </row>
    <row r="5">
      <c r="A5" s="3" t="inlineStr">
        <is>
          <t>Revenue growth</t>
        </is>
      </c>
      <c r="B5" s="16">
        <f>B4/Historicals!$E$4-1</f>
        <v/>
      </c>
      <c r="C5" s="16">
        <f>C4/B4-1</f>
        <v/>
      </c>
      <c r="D5" s="16">
        <f>D4/C4-1</f>
        <v/>
      </c>
      <c r="E5" s="16">
        <f>E4/D4-1</f>
        <v/>
      </c>
      <c r="F5" s="16">
        <f>F4/E4-1</f>
        <v/>
      </c>
    </row>
    <row r="6">
      <c r="A6" s="3" t="inlineStr">
        <is>
          <t>EBITDA margin</t>
        </is>
      </c>
      <c r="B6" s="16">
        <f>Assumptions!B$26</f>
        <v/>
      </c>
      <c r="C6" s="16">
        <f>Assumptions!C$26</f>
        <v/>
      </c>
      <c r="D6" s="16">
        <f>Assumptions!D$26</f>
        <v/>
      </c>
      <c r="E6" s="16">
        <f>Assumptions!E$26</f>
        <v/>
      </c>
      <c r="F6" s="16">
        <f>Assumptions!F$26</f>
        <v/>
      </c>
    </row>
    <row r="7">
      <c r="A7" s="3" t="inlineStr">
        <is>
          <t>EBITDA</t>
        </is>
      </c>
      <c r="B7" s="21">
        <f>B4*B6</f>
        <v/>
      </c>
      <c r="C7" s="21">
        <f>C4*C6</f>
        <v/>
      </c>
      <c r="D7" s="21">
        <f>D4*D6</f>
        <v/>
      </c>
      <c r="E7" s="21">
        <f>E4*E6</f>
        <v/>
      </c>
      <c r="F7" s="21">
        <f>F4*F6</f>
        <v/>
      </c>
    </row>
    <row r="8">
      <c r="A8" s="3" t="inlineStr">
        <is>
          <t>Less: Depreciation &amp; amortization</t>
        </is>
      </c>
      <c r="B8" s="21">
        <f>B4*Assumptions!$B$28</f>
        <v/>
      </c>
      <c r="C8" s="21">
        <f>C4*Assumptions!$B$28</f>
        <v/>
      </c>
      <c r="D8" s="21">
        <f>D4*Assumptions!$B$28</f>
        <v/>
      </c>
      <c r="E8" s="21">
        <f>E4*Assumptions!$B$28</f>
        <v/>
      </c>
      <c r="F8" s="21">
        <f>F4*Assumptions!$B$28</f>
        <v/>
      </c>
    </row>
    <row r="9">
      <c r="A9" s="3" t="inlineStr">
        <is>
          <t>EBIT</t>
        </is>
      </c>
      <c r="B9" s="21">
        <f>B7-B8</f>
        <v/>
      </c>
      <c r="C9" s="21">
        <f>C7-C8</f>
        <v/>
      </c>
      <c r="D9" s="21">
        <f>D7-D8</f>
        <v/>
      </c>
      <c r="E9" s="21">
        <f>E7-E8</f>
        <v/>
      </c>
      <c r="F9" s="21">
        <f>F7-F8</f>
        <v/>
      </c>
    </row>
    <row r="10">
      <c r="A10" s="3" t="inlineStr">
        <is>
          <t>Tax rate</t>
        </is>
      </c>
      <c r="B10" s="16">
        <f>Assumptions!$B$9</f>
        <v/>
      </c>
      <c r="C10" s="16">
        <f>Assumptions!$B$9</f>
        <v/>
      </c>
      <c r="D10" s="16">
        <f>Assumptions!$B$9</f>
        <v/>
      </c>
      <c r="E10" s="16">
        <f>Assumptions!$B$9</f>
        <v/>
      </c>
      <c r="F10" s="16">
        <f>Assumptions!$B$9</f>
        <v/>
      </c>
    </row>
    <row r="11">
      <c r="A11" s="3" t="inlineStr">
        <is>
          <t>Less: Income tax</t>
        </is>
      </c>
      <c r="B11" s="21">
        <f>MAX(B9,0)*B10</f>
        <v/>
      </c>
      <c r="C11" s="21">
        <f>MAX(C9,0)*C10</f>
        <v/>
      </c>
      <c r="D11" s="21">
        <f>MAX(D9,0)*D10</f>
        <v/>
      </c>
      <c r="E11" s="21">
        <f>MAX(E9,0)*E10</f>
        <v/>
      </c>
      <c r="F11" s="21">
        <f>MAX(F9,0)*F10</f>
        <v/>
      </c>
    </row>
    <row r="12">
      <c r="A12" s="3" t="inlineStr">
        <is>
          <t>NOPAT</t>
        </is>
      </c>
      <c r="B12" s="21">
        <f>B9-B11</f>
        <v/>
      </c>
      <c r="C12" s="21">
        <f>C9-C11</f>
        <v/>
      </c>
      <c r="D12" s="21">
        <f>D9-D11</f>
        <v/>
      </c>
      <c r="E12" s="21">
        <f>E9-E11</f>
        <v/>
      </c>
      <c r="F12" s="21">
        <f>F9-F11</f>
        <v/>
      </c>
    </row>
    <row r="13">
      <c r="A13" s="3" t="inlineStr">
        <is>
          <t>Add: Stock-based compensation</t>
        </is>
      </c>
      <c r="B13" s="21">
        <f>B4*Assumptions!B$29</f>
        <v/>
      </c>
      <c r="C13" s="21">
        <f>C4*Assumptions!C$29</f>
        <v/>
      </c>
      <c r="D13" s="21">
        <f>D4*Assumptions!D$29</f>
        <v/>
      </c>
      <c r="E13" s="21">
        <f>E4*Assumptions!E$29</f>
        <v/>
      </c>
      <c r="F13" s="21">
        <f>F4*Assumptions!F$29</f>
        <v/>
      </c>
    </row>
    <row r="14">
      <c r="A14" s="3" t="inlineStr">
        <is>
          <t>Less: Capital expenditures</t>
        </is>
      </c>
      <c r="B14" s="21">
        <f>B4*Assumptions!$B$30</f>
        <v/>
      </c>
      <c r="C14" s="21">
        <f>C4*Assumptions!$B$30</f>
        <v/>
      </c>
      <c r="D14" s="21">
        <f>D4*Assumptions!$B$30</f>
        <v/>
      </c>
      <c r="E14" s="21">
        <f>E4*Assumptions!$B$30</f>
        <v/>
      </c>
      <c r="F14" s="21">
        <f>F4*Assumptions!$B$30</f>
        <v/>
      </c>
    </row>
    <row r="15">
      <c r="A15" s="3" t="inlineStr">
        <is>
          <t>Less: Change in net working capital</t>
        </is>
      </c>
      <c r="B15" s="21">
        <f>(B4-Historicals!$E$4)*Assumptions!$B$31</f>
        <v/>
      </c>
      <c r="C15" s="21">
        <f>(C4-B4)*Assumptions!$B$31</f>
        <v/>
      </c>
      <c r="D15" s="21">
        <f>(D4-C4)*Assumptions!$B$31</f>
        <v/>
      </c>
      <c r="E15" s="21">
        <f>(E4-D4)*Assumptions!$B$31</f>
        <v/>
      </c>
      <c r="F15" s="21">
        <f>(F4-E4)*Assumptions!$B$31</f>
        <v/>
      </c>
    </row>
    <row r="16">
      <c r="A16" s="3" t="inlineStr">
        <is>
          <t>Unlevered free cash flow</t>
        </is>
      </c>
      <c r="B16" s="21">
        <f>B12+B8+B13-B14-B15</f>
        <v/>
      </c>
      <c r="C16" s="21">
        <f>C12+C8+C13-C14-C15</f>
        <v/>
      </c>
      <c r="D16" s="21">
        <f>D12+D8+D13-D14-D15</f>
        <v/>
      </c>
      <c r="E16" s="21">
        <f>E12+E8+E13-E14-E15</f>
        <v/>
      </c>
      <c r="F16" s="21">
        <f>F12+F8+F13-F14-F15</f>
        <v/>
      </c>
    </row>
    <row r="17">
      <c r="A17" s="3" t="inlineStr">
        <is>
          <t>Discount factor</t>
        </is>
      </c>
      <c r="B17" s="22">
        <f>1/(1+Assumptions!$B$17)^1</f>
        <v/>
      </c>
      <c r="C17" s="22">
        <f>1/(1+Assumptions!$B$17)^2</f>
        <v/>
      </c>
      <c r="D17" s="22">
        <f>1/(1+Assumptions!$B$17)^3</f>
        <v/>
      </c>
      <c r="E17" s="22">
        <f>1/(1+Assumptions!$B$17)^4</f>
        <v/>
      </c>
      <c r="F17" s="22">
        <f>1/(1+Assumptions!$B$17)^5</f>
        <v/>
      </c>
    </row>
    <row r="18">
      <c r="A18" s="3" t="inlineStr">
        <is>
          <t>Present value of FCF</t>
        </is>
      </c>
      <c r="B18" s="21">
        <f>B16*B17</f>
        <v/>
      </c>
      <c r="C18" s="21">
        <f>C16*C17</f>
        <v/>
      </c>
      <c r="D18" s="21">
        <f>D16*D17</f>
        <v/>
      </c>
      <c r="E18" s="21">
        <f>E16*E17</f>
        <v/>
      </c>
      <c r="F18" s="21">
        <f>F16*F17</f>
        <v/>
      </c>
    </row>
    <row r="19">
      <c r="A19" s="7" t="inlineStr">
        <is>
          <t>Sum of PV of FCF</t>
        </is>
      </c>
      <c r="B19" s="21">
        <f>SUM(B18:F18)</f>
        <v/>
      </c>
    </row>
    <row r="20">
      <c r="A20" s="3" t="inlineStr">
        <is>
          <t>Terminal value</t>
        </is>
      </c>
      <c r="B20" s="21">
        <f>F16*(1+Assumptions!$B$34)/(Assumptions!$B$17-Assumptions!$B$34)</f>
        <v/>
      </c>
    </row>
    <row r="21">
      <c r="A21" s="3" t="inlineStr">
        <is>
          <t>PV of terminal value</t>
        </is>
      </c>
      <c r="B21" s="21">
        <f>B20/(1+Assumptions!$B$17)^5</f>
        <v/>
      </c>
    </row>
    <row r="22">
      <c r="A22" s="7" t="inlineStr">
        <is>
          <t>Enterprise value</t>
        </is>
      </c>
      <c r="B22" s="21">
        <f>B19+B21</f>
        <v/>
      </c>
    </row>
    <row r="23">
      <c r="A23" s="3" t="inlineStr">
        <is>
          <t>Less: Net debt</t>
        </is>
      </c>
      <c r="B23" s="21">
        <f>Assumptions!$B$35</f>
        <v/>
      </c>
    </row>
    <row r="24">
      <c r="A24" s="7" t="inlineStr">
        <is>
          <t>Equity value</t>
        </is>
      </c>
      <c r="B24" s="21">
        <f>B22-B23</f>
        <v/>
      </c>
    </row>
    <row r="25">
      <c r="A25" s="3" t="inlineStr">
        <is>
          <t>Diluted shares outstanding (M)</t>
        </is>
      </c>
      <c r="B25" s="21">
        <f>Assumptions!$B$36</f>
        <v/>
      </c>
    </row>
    <row r="26">
      <c r="A26" s="10" t="inlineStr">
        <is>
          <t>Implied value per share ($)</t>
        </is>
      </c>
      <c r="B26" s="23">
        <f>B24/B25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6" max="6"/>
  </cols>
  <sheetData>
    <row r="1" ht="24" customHeight="1">
      <c r="A1" s="1" t="inlineStr">
        <is>
          <t>Comparable companies — enterprise SaaS</t>
        </is>
      </c>
    </row>
    <row r="2" ht="18" customHeight="1">
      <c r="A2" s="2" t="inlineStr">
        <is>
          <t>Market data as of 2026-10-16 (Oct 16 closes via Yahoo Finance). $ millions, except price and per-share. EV uses Oct 16 market cap + latest-quarter total debt less cash. SNOW EBITDA is negative — EV/EBITDA n/a.</t>
        </is>
      </c>
    </row>
    <row r="3">
      <c r="A3" s="20" t="inlineStr"/>
      <c r="B3" s="20" t="inlineStr">
        <is>
          <t>SNOW</t>
        </is>
      </c>
      <c r="C3" s="20" t="inlineStr">
        <is>
          <t>CRM</t>
        </is>
      </c>
      <c r="D3" s="20" t="inlineStr">
        <is>
          <t>NOW</t>
        </is>
      </c>
      <c r="E3" s="20" t="inlineStr">
        <is>
          <t>PLTR</t>
        </is>
      </c>
      <c r="F3" s="20" t="n"/>
    </row>
    <row r="4">
      <c r="A4" s="3" t="inlineStr">
        <is>
          <t>Price ($)</t>
        </is>
      </c>
      <c r="B4" s="23" t="n">
        <v>306.84</v>
      </c>
      <c r="C4" s="23" t="n">
        <v>240.7</v>
      </c>
      <c r="D4" s="23" t="n">
        <v>141.97</v>
      </c>
      <c r="E4" s="23" t="n">
        <v>186.03</v>
      </c>
    </row>
    <row r="5">
      <c r="A5" s="3" t="inlineStr">
        <is>
          <t>Market cap ($M)</t>
        </is>
      </c>
      <c r="B5" s="21" t="n">
        <v>108253.2</v>
      </c>
      <c r="C5" s="21" t="n">
        <v>198096.1</v>
      </c>
      <c r="D5" s="21" t="n">
        <v>146777.7</v>
      </c>
      <c r="E5" s="21" t="n">
        <v>427999.4</v>
      </c>
    </row>
    <row r="6">
      <c r="A6" s="3" t="inlineStr">
        <is>
          <t>Enterprise value ($M)</t>
        </is>
      </c>
      <c r="B6" s="21" t="n">
        <v>109309.8</v>
      </c>
      <c r="C6" s="21" t="n">
        <v>231529.1</v>
      </c>
      <c r="D6" s="21" t="n">
        <v>152727.7</v>
      </c>
      <c r="E6" s="21" t="n">
        <v>426180.8</v>
      </c>
    </row>
    <row r="7">
      <c r="A7" s="3" t="inlineStr">
        <is>
          <t>Revenue, TTM ($M)</t>
        </is>
      </c>
      <c r="B7" s="21" t="n">
        <v>5434.6</v>
      </c>
      <c r="C7" s="21" t="n">
        <v>43938</v>
      </c>
      <c r="D7" s="21" t="n">
        <v>14732</v>
      </c>
      <c r="E7" s="21" t="n">
        <v>6155.9</v>
      </c>
    </row>
    <row r="8">
      <c r="A8" s="3" t="inlineStr">
        <is>
          <t>EBITDA, TTM ($M)</t>
        </is>
      </c>
      <c r="B8" s="21" t="n">
        <v>-1036.3</v>
      </c>
      <c r="C8" s="21" t="n">
        <v>12899</v>
      </c>
      <c r="D8" s="21" t="n">
        <v>2897</v>
      </c>
      <c r="E8" s="21" t="n">
        <v>2662.6</v>
      </c>
    </row>
    <row r="9">
      <c r="A9" s="3" t="inlineStr">
        <is>
          <t>Forward EPS ($)</t>
        </is>
      </c>
      <c r="B9" s="23" t="n">
        <v>3.008</v>
      </c>
      <c r="C9" s="23" t="n">
        <v>16.023</v>
      </c>
      <c r="D9" s="23" t="n">
        <v>5.005</v>
      </c>
      <c r="E9" s="23" t="n">
        <v>2.352</v>
      </c>
    </row>
    <row r="10">
      <c r="A10" s="3" t="inlineStr">
        <is>
          <t>EV / Revenue</t>
        </is>
      </c>
      <c r="B10" s="24">
        <f>B6/B7</f>
        <v/>
      </c>
      <c r="C10" s="24">
        <f>C6/C7</f>
        <v/>
      </c>
      <c r="D10" s="24">
        <f>D6/D7</f>
        <v/>
      </c>
      <c r="E10" s="24">
        <f>E6/E7</f>
        <v/>
      </c>
    </row>
    <row r="11">
      <c r="A11" s="3" t="inlineStr">
        <is>
          <t>EV / EBITDA</t>
        </is>
      </c>
      <c r="B11" t="inlineStr">
        <is>
          <t>n/a</t>
        </is>
      </c>
      <c r="C11" s="24">
        <f>C6/C8</f>
        <v/>
      </c>
      <c r="D11" s="24">
        <f>D6/D8</f>
        <v/>
      </c>
      <c r="E11" s="24">
        <f>E6/E8</f>
        <v/>
      </c>
    </row>
    <row r="12">
      <c r="A12" s="3" t="inlineStr">
        <is>
          <t>Trailing P/E</t>
        </is>
      </c>
      <c r="B12" t="inlineStr">
        <is>
          <t>n/a</t>
        </is>
      </c>
      <c r="C12" s="24" t="n">
        <v>21.98</v>
      </c>
      <c r="D12" s="24" t="n">
        <v>88.73</v>
      </c>
      <c r="E12" s="24" t="n">
        <v>160.37</v>
      </c>
    </row>
    <row r="13">
      <c r="A13" s="3" t="inlineStr">
        <is>
          <t>Forward P/E</t>
        </is>
      </c>
      <c r="B13" s="24">
        <f>B4/B9</f>
        <v/>
      </c>
      <c r="C13" s="24">
        <f>C4/C9</f>
        <v/>
      </c>
      <c r="D13" s="24">
        <f>D4/D9</f>
        <v/>
      </c>
      <c r="E13" s="24">
        <f>E4/E9</f>
        <v/>
      </c>
    </row>
    <row r="15">
      <c r="A15" s="10" t="inlineStr">
        <is>
          <t>SNOW implied valuation from peer multiples</t>
        </is>
      </c>
    </row>
    <row r="16">
      <c r="A16" s="3" t="inlineStr">
        <is>
          <t>Median peer EV / Revenue</t>
        </is>
      </c>
      <c r="B16" s="24">
        <f>MEDIAN(C10:E10)</f>
        <v/>
      </c>
    </row>
    <row r="17">
      <c r="A17" s="3" t="inlineStr">
        <is>
          <t>Implied EV ($M)</t>
        </is>
      </c>
      <c r="B17" s="21">
        <f>B16*B7</f>
        <v/>
      </c>
    </row>
    <row r="18">
      <c r="A18" s="3" t="inlineStr">
        <is>
          <t>Less: Net debt ($M)</t>
        </is>
      </c>
      <c r="B18" s="21">
        <f>Assumptions!$B$35</f>
        <v/>
      </c>
    </row>
    <row r="19">
      <c r="A19" s="3" t="inlineStr">
        <is>
          <t>Implied equity ($M)</t>
        </is>
      </c>
      <c r="B19" s="21">
        <f>B17-B18</f>
        <v/>
      </c>
    </row>
    <row r="20">
      <c r="A20" s="7" t="inlineStr">
        <is>
          <t>Implied per share — EV/Revenue ($)</t>
        </is>
      </c>
      <c r="B20" s="23">
        <f>B19/Assumptions!$B$36</f>
        <v/>
      </c>
      <c r="C20" s="25" t="inlineStr">
        <is>
          <t>Reference only: PLTR's 69x sales skews the median upward; CRM's 5.3x is the mature anchor.</t>
        </is>
      </c>
    </row>
    <row r="22">
      <c r="A22" s="3" t="inlineStr">
        <is>
          <t>Median peer forward P/E</t>
        </is>
      </c>
      <c r="B22" s="24">
        <f>MEDIAN(C13:E13)</f>
        <v/>
      </c>
    </row>
    <row r="23">
      <c r="A23" s="3" t="inlineStr">
        <is>
          <t>SNOW forward EPS ($)</t>
        </is>
      </c>
      <c r="B23" s="23">
        <f>B9</f>
        <v/>
      </c>
    </row>
    <row r="24">
      <c r="A24" s="10" t="inlineStr">
        <is>
          <t>Implied per share — forward P/E ($)</t>
        </is>
      </c>
      <c r="B24" s="23">
        <f>B22*B23</f>
        <v/>
      </c>
      <c r="C24" s="25" t="inlineStr">
        <is>
          <t>Treat with caution: SNOW forward EPS is non-GAAP (excludes ~30% SBC); GAAP P/E is negative.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0" customWidth="1" min="2" max="2"/>
    <col width="12" customWidth="1" min="3" max="3"/>
    <col width="10" customWidth="1" min="4" max="4"/>
  </cols>
  <sheetData>
    <row r="1" ht="24" customHeight="1">
      <c r="A1" s="1" t="inlineStr">
        <is>
          <t>Verification appendix</t>
        </is>
      </c>
    </row>
    <row r="2" ht="18" customHeight="1">
      <c r="A2" s="2" t="inlineStr">
        <is>
          <t>Tie-outs and data provenance. Every [DATA] input is sourced; every [JUDGMENT] input carries a rationale on Assumptions.</t>
        </is>
      </c>
    </row>
    <row r="3">
      <c r="A3" s="20" t="inlineStr">
        <is>
          <t>Check</t>
        </is>
      </c>
      <c r="B3" s="20" t="inlineStr">
        <is>
          <t>Detail</t>
        </is>
      </c>
      <c r="C3" s="20" t="inlineStr">
        <is>
          <t>Status</t>
        </is>
      </c>
      <c r="D3" s="20" t="n"/>
    </row>
    <row r="4" ht="30" customHeight="1">
      <c r="A4" s="26" t="inlineStr">
        <is>
          <t>Net income ties across statements</t>
        </is>
      </c>
      <c r="B4" s="8" t="inlineStr">
        <is>
          <t>Income-statement vs cash-flow-statement net income for FY2023–FY2026 (max diff $3.6M on ~$1.3B losses — rounding/minority interest)</t>
        </is>
      </c>
      <c r="C4" s="27" t="inlineStr">
        <is>
          <t>PASS</t>
        </is>
      </c>
    </row>
    <row r="5" ht="30" customHeight="1">
      <c r="A5" s="26" t="inlineStr">
        <is>
          <t>Revenue sourced from filings</t>
        </is>
      </c>
      <c r="B5" s="8" t="inlineStr">
        <is>
          <t>FY2023–FY2026 total revenue 2,065.7 / 2,806.5 / 3,626.4 / 4,683.9 ($M)</t>
        </is>
      </c>
      <c r="C5" s="27" t="inlineStr">
        <is>
          <t>PASS</t>
        </is>
      </c>
    </row>
    <row r="6" ht="30" customHeight="1">
      <c r="A6" s="26" t="inlineStr">
        <is>
          <t>Never GAAP-profitable — flagged</t>
        </is>
      </c>
      <c r="B6" s="8" t="inlineStr">
        <is>
          <t>Net income negative every reported year (FY2026: –$1,332M); DCF runs on a revenue → FCF-margin path: FCF margin ramps 16.1% → 37.9% base case via the bridge (SBC add-back disclosed)</t>
        </is>
      </c>
      <c r="C6" s="27" t="inlineStr">
        <is>
          <t>PASS</t>
        </is>
      </c>
    </row>
    <row r="7" ht="30" customHeight="1">
      <c r="A7" s="26" t="inlineStr">
        <is>
          <t>SBC magnitude</t>
        </is>
      </c>
      <c r="B7" s="8" t="inlineStr">
        <is>
          <t>FY2026 SBC $1,600M = 34.2% of revenue — heaviest in the peer set; added back in the FCF bridge; valuation is sensitive to the SBC decline path</t>
        </is>
      </c>
      <c r="C7" s="27" t="inlineStr">
        <is>
          <t>PASS</t>
        </is>
      </c>
    </row>
    <row r="8" ht="30" customHeight="1">
      <c r="A8" s="26" t="inlineStr">
        <is>
          <t>Tax floor</t>
        </is>
      </c>
      <c r="B8" s="8" t="inlineStr">
        <is>
          <t>Formula applies MAX(EBIT,0) × 21%: EBIT is negative all five forecast years, so no income tax is modeled — consistent with the NOL position</t>
        </is>
      </c>
      <c r="C8" s="27" t="inlineStr">
        <is>
          <t>PASS</t>
        </is>
      </c>
    </row>
    <row r="9" ht="30" customHeight="1">
      <c r="A9" s="26" t="inlineStr">
        <is>
          <t>Share count</t>
        </is>
      </c>
      <c r="B9" s="8" t="inlineStr">
        <is>
          <t>337.5M diluted weighted avg (FY2026 10-K via Yahoo); basic outstanding 352.8M per Yahoo</t>
        </is>
      </c>
      <c r="C9" s="27" t="inlineStr">
        <is>
          <t>PASS</t>
        </is>
      </c>
    </row>
    <row r="10" ht="30" customHeight="1">
      <c r="A10" s="26" t="inlineStr">
        <is>
          <t>Net debt bridge</t>
        </is>
      </c>
      <c r="B10" s="8" t="inlineStr">
        <is>
          <t>Q2 FY2027 balance sheet (2026-07-31): total debt $2,763.8M less cash $1,707.2M = net debt $1,056.6M</t>
        </is>
      </c>
      <c r="C10" s="27" t="inlineStr">
        <is>
          <t>PASS</t>
        </is>
      </c>
    </row>
    <row r="11" ht="30" customHeight="1">
      <c r="A11" s="26" t="inlineStr">
        <is>
          <t>Beta</t>
        </is>
      </c>
      <c r="B11" s="8" t="inlineStr">
        <is>
          <t>1.35 used; Yahoo Finance 1.35 (2026-10-19); cross-checked 1.35 MarketBeat</t>
        </is>
      </c>
      <c r="C11" s="27" t="inlineStr">
        <is>
          <t>PASS</t>
        </is>
      </c>
    </row>
    <row r="12" ht="30" customHeight="1">
      <c r="A12" s="26" t="inlineStr">
        <is>
          <t>Risk-free rate</t>
        </is>
      </c>
      <c r="B12" s="8" t="inlineStr">
        <is>
          <t>US 10Y 5.1% on 2026-10-19 (Reuters) — shared framework input</t>
        </is>
      </c>
      <c r="C12" s="27" t="inlineStr">
        <is>
          <t>PASS</t>
        </is>
      </c>
    </row>
    <row r="13" ht="30" customHeight="1">
      <c r="A13" s="26" t="inlineStr">
        <is>
          <t>Fiscal year</t>
        </is>
      </c>
      <c r="B13" s="8" t="inlineStr">
        <is>
          <t>SNOW fiscal year ends Jan 31: historicals FY2023–FY2026, forecast FY2027–FY2031 (maps to calendar 2026–2030)</t>
        </is>
      </c>
      <c r="C13" s="27" t="inlineStr">
        <is>
          <t>PASS</t>
        </is>
      </c>
    </row>
    <row r="14" ht="30" customHeight="1">
      <c r="A14" s="26" t="inlineStr">
        <is>
          <t>DCF vs market gap is explainable</t>
        </is>
      </c>
      <c r="B14" s="8" t="inlineStr">
        <is>
          <t>Base per-share trails $306.84 by ~57%: even a full march to 18% EBITDA / 37% FCF margins cannot support the quote at an 11.0% WACC — the market prices flawless AI data-cloud execution</t>
        </is>
      </c>
      <c r="C14" s="27" t="inlineStr">
        <is>
          <t>PASS</t>
        </is>
      </c>
    </row>
    <row r="15" ht="30" customHeight="1">
      <c r="A15" s="26" t="inlineStr">
        <is>
          <t>Comps market data as-of</t>
        </is>
      </c>
      <c r="B15" s="8" t="inlineStr">
        <is>
          <t>CRM / NOW / SNOW / PLTR Oct 16 closes and TTM financials pulled 2026-10-19 via Yahoo Finance</t>
        </is>
      </c>
      <c r="C15" s="27" t="inlineStr">
        <is>
          <t>PASS</t>
        </is>
      </c>
    </row>
    <row r="16" ht="30" customHeight="1">
      <c r="A16" s="26" t="inlineStr">
        <is>
          <t>FCF bridge reconciles</t>
        </is>
      </c>
      <c r="B16" s="8" t="inlineStr">
        <is>
          <t>Formula check: EV = sum of PV of FCF + PV of terminal value</t>
        </is>
      </c>
      <c r="C16" s="27">
        <f>IF(ABS(DCF_Base!B22-(DCF_Base!B19+DCF_Base!B21))&lt;0.5,"PASS","FAIL")</f>
        <v/>
      </c>
    </row>
    <row r="17" ht="30" customHeight="1">
      <c r="A17" s="26" t="inlineStr">
        <is>
          <t>Per-share arithmetic</t>
        </is>
      </c>
      <c r="B17" s="8" t="inlineStr">
        <is>
          <t>Formula check: per-share = equity value / shares</t>
        </is>
      </c>
      <c r="C17" s="27">
        <f>IF(ABS(DCF_Base!B26-DCF_Base!B24/DCF_Base!B25)&lt;0.01,"PASS","FAIL")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14" customWidth="1" min="4" max="4"/>
    <col width="44" customWidth="1" min="5" max="5"/>
  </cols>
  <sheetData>
    <row r="1" ht="24" customHeight="1">
      <c r="A1" s="1" t="inlineStr">
        <is>
          <t>Sources</t>
        </is>
      </c>
    </row>
    <row r="2" ht="18" customHeight="1">
      <c r="A2" s="2" t="inlineStr">
        <is>
          <t>Full URLs and access dates for every external input.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  <c r="D3" s="20" t="inlineStr">
        <is>
          <t>Accessed</t>
        </is>
      </c>
      <c r="E3" s="20" t="inlineStr">
        <is>
          <t>Used for</t>
        </is>
      </c>
    </row>
    <row r="4" ht="28" customHeight="1">
      <c r="A4" s="28" t="n">
        <v>1</v>
      </c>
      <c r="B4" s="8" t="inlineStr">
        <is>
          <t>Yahoo Finance — SNOW quote &amp; financials</t>
        </is>
      </c>
      <c r="C4" s="29" t="inlineStr">
        <is>
          <t>https://finance.yahoo.com/quote/SNOW</t>
        </is>
      </c>
      <c r="D4" s="28" t="inlineStr">
        <is>
          <t>2026-10-19</t>
        </is>
      </c>
      <c r="E4" s="8" t="inlineStr">
        <is>
          <t>quote &amp; financials</t>
        </is>
      </c>
    </row>
    <row r="5" ht="28" customHeight="1">
      <c r="A5" s="28" t="n">
        <v>2</v>
      </c>
      <c r="B5" s="8" t="inlineStr">
        <is>
          <t>Yahoo Finance — CRM comps market data</t>
        </is>
      </c>
      <c r="C5" s="29" t="inlineStr">
        <is>
          <t>https://finance.yahoo.com/quote/CRM</t>
        </is>
      </c>
      <c r="D5" s="28" t="inlineStr">
        <is>
          <t>2026-10-19</t>
        </is>
      </c>
      <c r="E5" s="8" t="inlineStr">
        <is>
          <t>comps market data</t>
        </is>
      </c>
    </row>
    <row r="6" ht="28" customHeight="1">
      <c r="A6" s="28" t="n">
        <v>3</v>
      </c>
      <c r="B6" s="8" t="inlineStr">
        <is>
          <t>Yahoo Finance — NOW comps market data</t>
        </is>
      </c>
      <c r="C6" s="29" t="inlineStr">
        <is>
          <t>https://finance.yahoo.com/quote/NOW</t>
        </is>
      </c>
      <c r="D6" s="28" t="inlineStr">
        <is>
          <t>2026-10-19</t>
        </is>
      </c>
      <c r="E6" s="8" t="inlineStr">
        <is>
          <t>comps market data</t>
        </is>
      </c>
    </row>
    <row r="7" ht="28" customHeight="1">
      <c r="A7" s="28" t="n">
        <v>4</v>
      </c>
      <c r="B7" s="8" t="inlineStr">
        <is>
          <t>Yahoo Finance — PLTR comps market data</t>
        </is>
      </c>
      <c r="C7" s="29" t="inlineStr">
        <is>
          <t>https://finance.yahoo.com/quote/PLTR</t>
        </is>
      </c>
      <c r="D7" s="28" t="inlineStr">
        <is>
          <t>2026-10-19</t>
        </is>
      </c>
      <c r="E7" s="8" t="inlineStr">
        <is>
          <t>comps market data</t>
        </is>
      </c>
    </row>
    <row r="8" ht="28" customHeight="1">
      <c r="A8" s="28" t="n">
        <v>5</v>
      </c>
      <c r="B8" s="8" t="inlineStr">
        <is>
          <t>Reuters — 10Y yield 5.085% on Oct 19, 2026</t>
        </is>
      </c>
      <c r="C8" s="29" t="inlineStr">
        <is>
          <t>https://www.reuters.com/business/wall-st-futures-climb-ai-stocks-rebound-oil-yields-fall-2026-10-19/</t>
        </is>
      </c>
      <c r="D8" s="28" t="inlineStr">
        <is>
          <t>2026-10-19</t>
        </is>
      </c>
      <c r="E8" s="8" t="inlineStr">
        <is>
          <t>Risk-free rate (5.1%)</t>
        </is>
      </c>
    </row>
    <row r="9" ht="28" customHeight="1">
      <c r="A9" s="28" t="n">
        <v>6</v>
      </c>
      <c r="B9" s="8" t="inlineStr">
        <is>
          <t>MarketBeat — SNOW</t>
        </is>
      </c>
      <c r="C9" s="29" t="inlineStr">
        <is>
          <t>https://www.marketbeat.com/stocks/NYSE/SNOW/</t>
        </is>
      </c>
      <c r="D9" s="28" t="inlineStr">
        <is>
          <t>2026-10-19</t>
        </is>
      </c>
      <c r="E9" s="8" t="inlineStr">
        <is>
          <t>Beta (1.35) cross-check; profitability context</t>
        </is>
      </c>
    </row>
    <row r="10" ht="28" customHeight="1">
      <c r="A10" s="28" t="n">
        <v>7</v>
      </c>
      <c r="B10" s="8" t="inlineStr">
        <is>
          <t>A.L. Capital Advisory — SNOW</t>
        </is>
      </c>
      <c r="C10" s="29" t="inlineStr">
        <is>
          <t>https://alcapitaladvisory.com/research/equities/snow.html</t>
        </is>
      </c>
      <c r="D10" s="28" t="inlineStr">
        <is>
          <t>2026-10-19</t>
        </is>
      </c>
      <c r="E10" s="8" t="inlineStr">
        <is>
          <t>Beta (1.35) context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2026-10-19T15:39:10+00:00Z</dcterms:created>
  <dcterms:modified xmlns:dcterms="http://purl.org/dc/terms/" xmlns:xsi="http://www.w3.org/2001/XMLSchema-instance" xsi:type="dcterms:W3CDTF">2026-10-19T15:39:10+00:00Z</dcterms:modified>
</cp:coreProperties>
</file>