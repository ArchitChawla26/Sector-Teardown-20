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NOW" TargetMode="External" Id="rId1"/><Relationship Type="http://schemas.openxmlformats.org/officeDocument/2006/relationships/hyperlink" Target="https://finance.yahoo.com/quote/CRM" TargetMode="External" Id="rId2"/><Relationship Type="http://schemas.openxmlformats.org/officeDocument/2006/relationships/hyperlink" Target="https://finance.yahoo.com/quote/SNOW" TargetMode="External" Id="rId3"/><Relationship Type="http://schemas.openxmlformats.org/officeDocument/2006/relationships/hyperlink" Target="https://finance.yahoo.com/quote/PLTR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finnhub.io/?q=%22NOW%22" TargetMode="External" Id="rId6"/><Relationship Type="http://schemas.openxmlformats.org/officeDocument/2006/relationships/hyperlink" Target="https://alcapitaladvisory.com/research/equities/now.html" TargetMode="External" Id="rId7"/><Relationship Type="http://schemas.openxmlformats.org/officeDocument/2006/relationships/hyperlink" Target="https://stockanalysis.com/quote/bvmf/N1OW34/" TargetMode="External" Id="rId8"/><Relationship Type="http://schemas.openxmlformats.org/officeDocument/2006/relationships/hyperlink" Target="https://Public.com/stocks/now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— ServiceNow, Inc. (NYSE: NOW)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141.97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A superb workflow franchise — 21% growth, 34% FCF margins — but the quote prices a decade of perfection: my DCF base sits ~29% below $141.97, and even the bull case only clears it by ~20%.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FY2022–FY2025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CRM, PLTR, SNOW multiples and NOW-implied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5.1% on 2026-10-19 (Reuters); verified for this project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 (shared framework)</t>
        </is>
      </c>
    </row>
    <row r="6">
      <c r="A6" s="3" t="inlineStr">
        <is>
          <t>Beta (NOW)</t>
        </is>
      </c>
      <c r="B6" s="15" t="n">
        <v>0.97</v>
      </c>
      <c r="C6" s="12" t="inlineStr">
        <is>
          <t>[DATA]</t>
        </is>
      </c>
      <c r="D6" s="13" t="inlineStr">
        <is>
          <t>Yahoo Finance 0.99 (2026-10-19); cross-checked 0.96 Finnhub, 0.99 MarketBeat, 0.66 Public.com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</v>
      </c>
      <c r="C8" s="14" t="inlineStr">
        <is>
          <t>[JUDGMENT]</t>
        </is>
      </c>
      <c r="D8" s="13" t="inlineStr">
        <is>
          <t>Investment-grade; 5% through-cycle estimate (debt raised for 2026 acquisition)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statutory; FY2023 effective rate distorted by –$723M valuation-allowance release — normalized forward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148642.59</v>
      </c>
      <c r="C11" s="12" t="inlineStr">
        <is>
          <t>[DATA]</t>
        </is>
      </c>
      <c r="D11" s="13" t="inlineStr">
        <is>
          <t>Oct 16 close $141.97 × 1,047.0M diluted shares = $148,643M</t>
        </is>
      </c>
    </row>
    <row r="12">
      <c r="A12" s="3" t="inlineStr">
        <is>
          <t>Book value of debt ($M)</t>
        </is>
      </c>
      <c r="B12" s="18" t="n">
        <v>8453</v>
      </c>
      <c r="C12" s="12" t="inlineStr">
        <is>
          <t>[DATA]</t>
        </is>
      </c>
      <c r="D12" s="13" t="inlineStr">
        <is>
          <t>Q2 2026 balance sheet, 2026-06-30 (Yahoo Finance); up from $2.4B at FY2025 year-end (acquisition financing)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(FY2026–FY2030)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0.2</v>
      </c>
      <c r="C21" s="11" t="n">
        <v>0.18</v>
      </c>
      <c r="D21" s="11" t="n">
        <v>0.16</v>
      </c>
      <c r="E21" s="11" t="n">
        <v>0.14</v>
      </c>
      <c r="F21" s="11" t="n">
        <v>0.12</v>
      </c>
      <c r="G21" s="14" t="inlineStr">
        <is>
          <t>[JUDGMENT]</t>
        </is>
      </c>
      <c r="H21" s="13" t="inlineStr">
        <is>
          <t>Taper from 20.9% (FY2025); workflow platform + AI agents; subscription cRPO ~19–20%</t>
        </is>
      </c>
    </row>
    <row r="22">
      <c r="A22" s="3" t="inlineStr">
        <is>
          <t>Revenue growth — bull</t>
        </is>
      </c>
      <c r="B22" s="11" t="n">
        <v>0.24</v>
      </c>
      <c r="C22" s="11" t="n">
        <v>0.22</v>
      </c>
      <c r="D22" s="11" t="n">
        <v>0.2</v>
      </c>
      <c r="E22" s="11" t="n">
        <v>0.18</v>
      </c>
      <c r="F22" s="11" t="n">
        <v>0.16</v>
      </c>
      <c r="G22" s="14" t="inlineStr">
        <is>
          <t>[JUDGMENT]</t>
        </is>
      </c>
      <c r="H22" s="13" t="inlineStr">
        <is>
          <t>AI agent workflows drive net-new expansion; federal vertical scales</t>
        </is>
      </c>
    </row>
    <row r="23">
      <c r="A23" s="3" t="inlineStr">
        <is>
          <t>Revenue growth — bear</t>
        </is>
      </c>
      <c r="B23" s="11" t="n">
        <v>0.15</v>
      </c>
      <c r="C23" s="11" t="n">
        <v>0.13</v>
      </c>
      <c r="D23" s="11" t="n">
        <v>0.11</v>
      </c>
      <c r="E23" s="11" t="n">
        <v>0.09</v>
      </c>
      <c r="F23" s="11" t="n">
        <v>0.07000000000000001</v>
      </c>
      <c r="G23" s="14" t="inlineStr">
        <is>
          <t>[JUDGMENT]</t>
        </is>
      </c>
      <c r="H23" s="13" t="inlineStr">
        <is>
          <t>IT budget cuts; seat-based pricing pressure</t>
        </is>
      </c>
    </row>
    <row r="24">
      <c r="A24" s="3" t="inlineStr">
        <is>
          <t>EBITDA margin — base</t>
        </is>
      </c>
      <c r="B24" s="11" t="n">
        <v>0.24</v>
      </c>
      <c r="C24" s="11" t="n">
        <v>0.26</v>
      </c>
      <c r="D24" s="11" t="n">
        <v>0.28</v>
      </c>
      <c r="E24" s="11" t="n">
        <v>0.3</v>
      </c>
      <c r="F24" s="11" t="n">
        <v>0.32</v>
      </c>
      <c r="G24" s="14" t="inlineStr">
        <is>
          <t>[JUDGMENT]</t>
        </is>
      </c>
      <c r="H24" s="13" t="inlineStr">
        <is>
          <t>FY2025: 22.8%; operating leverage toward mature-SaaS 32%</t>
        </is>
      </c>
    </row>
    <row r="25">
      <c r="A25" s="3" t="inlineStr">
        <is>
          <t>EBITDA margin — bull</t>
        </is>
      </c>
      <c r="B25" s="11" t="n">
        <v>0.25</v>
      </c>
      <c r="C25" s="11" t="n">
        <v>0.275</v>
      </c>
      <c r="D25" s="11" t="n">
        <v>0.3</v>
      </c>
      <c r="E25" s="11" t="n">
        <v>0.325</v>
      </c>
      <c r="F25" s="11" t="n">
        <v>0.35</v>
      </c>
      <c r="G25" s="14" t="inlineStr">
        <is>
          <t>[JUDGMENT]</t>
        </is>
      </c>
      <c r="H25" s="13" t="inlineStr">
        <is>
          <t>Faster leverage; AI mix lifts gross margin</t>
        </is>
      </c>
    </row>
    <row r="26">
      <c r="A26" s="3" t="inlineStr">
        <is>
          <t>EBITDA margin — bear</t>
        </is>
      </c>
      <c r="B26" s="11" t="n">
        <v>0.22</v>
      </c>
      <c r="C26" s="11" t="n">
        <v>0.23</v>
      </c>
      <c r="D26" s="11" t="n">
        <v>0.24</v>
      </c>
      <c r="E26" s="11" t="n">
        <v>0.25</v>
      </c>
      <c r="F26" s="11" t="n">
        <v>0.26</v>
      </c>
      <c r="G26" s="14" t="inlineStr">
        <is>
          <t>[JUDGMENT]</t>
        </is>
      </c>
      <c r="H26" s="13" t="inlineStr">
        <is>
          <t>Growth investments + discounting cap margins</t>
        </is>
      </c>
    </row>
    <row r="28">
      <c r="A28" s="3" t="inlineStr">
        <is>
          <t>D&amp;A (% of revenue)</t>
        </is>
      </c>
      <c r="B28" s="11" t="n">
        <v>0.055</v>
      </c>
      <c r="G28" s="14" t="inlineStr">
        <is>
          <t>[JUDGMENT]</t>
        </is>
      </c>
      <c r="H28" s="13" t="inlineStr">
        <is>
          <t>FY2025 CF D&amp;A $738M = 5.6% of revenue (IS row not broken out in source)</t>
        </is>
      </c>
    </row>
    <row r="29">
      <c r="A29" s="3" t="inlineStr">
        <is>
          <t>Stock-based comp. (% of revenue)</t>
        </is>
      </c>
      <c r="B29" s="11" t="n">
        <v>0.14</v>
      </c>
      <c r="C29" s="11" t="n">
        <v>0.13</v>
      </c>
      <c r="D29" s="11" t="n">
        <v>0.12</v>
      </c>
      <c r="E29" s="11" t="n">
        <v>0.11</v>
      </c>
      <c r="F29" s="11" t="n">
        <v>0.1</v>
      </c>
      <c r="G29" s="14" t="inlineStr">
        <is>
          <t>[JUDGMENT]</t>
        </is>
      </c>
      <c r="H29" s="13" t="inlineStr">
        <is>
          <t>FY2025: 14.7% ($1,955M); declining with scale; added back in FCF bridge</t>
        </is>
      </c>
    </row>
    <row r="30">
      <c r="A30" s="3" t="inlineStr">
        <is>
          <t>Capex (% of revenue)</t>
        </is>
      </c>
      <c r="B30" s="11" t="n">
        <v>0.065</v>
      </c>
      <c r="G30" s="14" t="inlineStr">
        <is>
          <t>[JUDGMENT]</t>
        </is>
      </c>
      <c r="H30" s="13" t="inlineStr">
        <is>
          <t>FY2025: 6.9% — data-center and facilities build</t>
        </is>
      </c>
    </row>
    <row r="31">
      <c r="A31" s="3" t="inlineStr">
        <is>
          <t>Change in NWC (% of revenue growth)</t>
        </is>
      </c>
      <c r="B31" s="11" t="n">
        <v>0.02</v>
      </c>
      <c r="G31" s="14" t="inlineStr">
        <is>
          <t>[JUDGMENT]</t>
        </is>
      </c>
      <c r="H31" s="13" t="inlineStr">
        <is>
          <t>WC roughly neutral historically; deferred revenue offsets receivables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 (shared framework)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8" t="n">
        <v>5950</v>
      </c>
      <c r="G35" s="12" t="inlineStr">
        <is>
          <t>[DATA]</t>
        </is>
      </c>
      <c r="H35" s="13" t="inlineStr">
        <is>
          <t>Q2 2026: total debt $8,453M less cash $2,503M = net debt $5,950M</t>
        </is>
      </c>
    </row>
    <row r="36">
      <c r="A36" s="3" t="inlineStr">
        <is>
          <t>Diluted shares outstanding (M)</t>
        </is>
      </c>
      <c r="B36" s="18" t="n">
        <v>1047</v>
      </c>
      <c r="G36" s="12" t="inlineStr">
        <is>
          <t>[DATA]</t>
        </is>
      </c>
      <c r="H36" s="13" t="inlineStr">
        <is>
          <t>FY2025 diluted weighted average 1,047.0M (10-K via Yahoo)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Historical financials — NOW</t>
        </is>
      </c>
    </row>
    <row r="2" ht="18" customHeight="1">
      <c r="A2" s="2" t="inlineStr">
        <is>
          <t>$ millions. Source: Yahoo Finance annual statements (filing-derived), as of 2026-10-19. FY2022–FY2025 (FY2021 column blank in source — excluded).</t>
        </is>
      </c>
    </row>
    <row r="3">
      <c r="A3" s="20" t="inlineStr"/>
      <c r="B3" s="20" t="inlineStr">
        <is>
          <t>FY2022</t>
        </is>
      </c>
      <c r="C3" s="20" t="inlineStr">
        <is>
          <t>FY2023</t>
        </is>
      </c>
      <c r="D3" s="20" t="inlineStr">
        <is>
          <t>FY2024</t>
        </is>
      </c>
      <c r="E3" s="20" t="inlineStr">
        <is>
          <t>FY2025</t>
        </is>
      </c>
    </row>
    <row r="4">
      <c r="A4" s="3" t="inlineStr">
        <is>
          <t>Total revenue</t>
        </is>
      </c>
      <c r="B4" s="21" t="n">
        <v>7245</v>
      </c>
      <c r="C4" s="21" t="n">
        <v>8971</v>
      </c>
      <c r="D4" s="21" t="n">
        <v>10984</v>
      </c>
      <c r="E4" s="21" t="n">
        <v>13278</v>
      </c>
    </row>
    <row r="5">
      <c r="A5" s="3" t="inlineStr">
        <is>
          <t>Gross profit</t>
        </is>
      </c>
      <c r="B5" s="21" t="n">
        <v>5672</v>
      </c>
      <c r="C5" s="21" t="n">
        <v>7050</v>
      </c>
      <c r="D5" s="21" t="n">
        <v>8697</v>
      </c>
      <c r="E5" s="21" t="n">
        <v>10295</v>
      </c>
    </row>
    <row r="6">
      <c r="A6" s="3" t="inlineStr">
        <is>
          <t>EBITDA</t>
        </is>
      </c>
      <c r="B6" s="21" t="n">
        <v>788</v>
      </c>
      <c r="C6" s="21" t="n">
        <v>1324</v>
      </c>
      <c r="D6" s="21" t="n">
        <v>2325</v>
      </c>
      <c r="E6" s="21" t="n">
        <v>3022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355</v>
      </c>
      <c r="C8" s="21" t="n">
        <v>762</v>
      </c>
      <c r="D8" s="21" t="n">
        <v>1364</v>
      </c>
      <c r="E8" s="21" t="n">
        <v>1824</v>
      </c>
    </row>
    <row r="9">
      <c r="A9" s="3" t="inlineStr">
        <is>
          <t>Net income</t>
        </is>
      </c>
      <c r="B9" s="21" t="n">
        <v>325</v>
      </c>
      <c r="C9" s="21" t="n">
        <v>1731</v>
      </c>
      <c r="D9" s="21" t="n">
        <v>1425</v>
      </c>
      <c r="E9" s="21" t="n">
        <v>1748</v>
      </c>
    </row>
    <row r="10">
      <c r="A10" s="3" t="inlineStr">
        <is>
          <t>Diluted average shares (M)</t>
        </is>
      </c>
      <c r="B10" s="21" t="n">
        <v>1020</v>
      </c>
      <c r="C10" s="21" t="n">
        <v>1030</v>
      </c>
      <c r="D10" s="21" t="n">
        <v>1040</v>
      </c>
      <c r="E10" s="21" t="n">
        <v>1047</v>
      </c>
    </row>
    <row r="11">
      <c r="A11" s="3" t="inlineStr">
        <is>
          <t>Operating cash flow</t>
        </is>
      </c>
      <c r="B11" s="21" t="n">
        <v>2723</v>
      </c>
      <c r="C11" s="21" t="n">
        <v>3398</v>
      </c>
      <c r="D11" s="21" t="n">
        <v>4267</v>
      </c>
      <c r="E11" s="21" t="n">
        <v>5444</v>
      </c>
    </row>
    <row r="12">
      <c r="A12" s="3" t="inlineStr">
        <is>
          <t>Capital expenditures</t>
        </is>
      </c>
      <c r="B12" s="21" t="n">
        <v>-550</v>
      </c>
      <c r="C12" s="21" t="n">
        <v>-697</v>
      </c>
      <c r="D12" s="21" t="n">
        <v>-892</v>
      </c>
      <c r="E12" s="21" t="n">
        <v>-911</v>
      </c>
    </row>
    <row r="13">
      <c r="A13" s="3" t="inlineStr">
        <is>
          <t>Free cash flow</t>
        </is>
      </c>
      <c r="B13" s="21" t="n">
        <v>2173</v>
      </c>
      <c r="C13" s="21" t="n">
        <v>2701</v>
      </c>
      <c r="D13" s="21" t="n">
        <v>3375</v>
      </c>
      <c r="E13" s="21" t="n">
        <v>4533</v>
      </c>
    </row>
    <row r="14">
      <c r="A14" s="3" t="inlineStr">
        <is>
          <t>Cash &amp; equivalents</t>
        </is>
      </c>
      <c r="B14" s="21" t="n">
        <v>1470</v>
      </c>
      <c r="C14" s="21" t="n">
        <v>1897</v>
      </c>
      <c r="D14" s="21" t="n">
        <v>2304</v>
      </c>
      <c r="E14" s="21" t="n">
        <v>3726</v>
      </c>
    </row>
    <row r="15">
      <c r="A15" s="3" t="inlineStr">
        <is>
          <t>Total debt</t>
        </is>
      </c>
      <c r="B15" s="21" t="n">
        <v>2232</v>
      </c>
      <c r="C15" s="21" t="n">
        <v>2284</v>
      </c>
      <c r="D15" s="21" t="n">
        <v>2278</v>
      </c>
      <c r="E15" s="21" t="n">
        <v>2403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ServiceNow, Inc. (NOW)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ServiceNow, Inc. (NOW)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ServiceNow, Inc. (NOW)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enterprise SaaS</t>
        </is>
      </c>
    </row>
    <row r="2" ht="18" customHeight="1">
      <c r="A2" s="2" t="inlineStr">
        <is>
          <t>Market data as of 2026-10-16 (Oct 16 closes via Yahoo Finance). $ millions, except price and per-share. EV uses Oct 16 market cap + latest-quarter total debt less cash.</t>
        </is>
      </c>
    </row>
    <row r="3">
      <c r="A3" s="20" t="inlineStr"/>
      <c r="B3" s="20" t="inlineStr">
        <is>
          <t>NOW</t>
        </is>
      </c>
      <c r="C3" s="20" t="inlineStr">
        <is>
          <t>CRM</t>
        </is>
      </c>
      <c r="D3" s="20" t="inlineStr">
        <is>
          <t>PLTR</t>
        </is>
      </c>
      <c r="E3" s="20" t="inlineStr">
        <is>
          <t>SNOW</t>
        </is>
      </c>
      <c r="F3" s="20" t="n"/>
    </row>
    <row r="4">
      <c r="A4" s="3" t="inlineStr">
        <is>
          <t>Price ($)</t>
        </is>
      </c>
      <c r="B4" s="23" t="n">
        <v>141.97</v>
      </c>
      <c r="C4" s="23" t="n">
        <v>240.7</v>
      </c>
      <c r="D4" s="23" t="n">
        <v>186.03</v>
      </c>
      <c r="E4" s="23" t="n">
        <v>306.84</v>
      </c>
    </row>
    <row r="5">
      <c r="A5" s="3" t="inlineStr">
        <is>
          <t>Market cap ($M)</t>
        </is>
      </c>
      <c r="B5" s="21" t="n">
        <v>146777.7</v>
      </c>
      <c r="C5" s="21" t="n">
        <v>198096.1</v>
      </c>
      <c r="D5" s="21" t="n">
        <v>427999.4</v>
      </c>
      <c r="E5" s="21" t="n">
        <v>108253.2</v>
      </c>
    </row>
    <row r="6">
      <c r="A6" s="3" t="inlineStr">
        <is>
          <t>Enterprise value ($M)</t>
        </is>
      </c>
      <c r="B6" s="21" t="n">
        <v>152727.7</v>
      </c>
      <c r="C6" s="21" t="n">
        <v>231529.1</v>
      </c>
      <c r="D6" s="21" t="n">
        <v>426180.8</v>
      </c>
      <c r="E6" s="21" t="n">
        <v>109309.8</v>
      </c>
    </row>
    <row r="7">
      <c r="A7" s="3" t="inlineStr">
        <is>
          <t>Revenue, TTM ($M)</t>
        </is>
      </c>
      <c r="B7" s="21" t="n">
        <v>14732</v>
      </c>
      <c r="C7" s="21" t="n">
        <v>43938</v>
      </c>
      <c r="D7" s="21" t="n">
        <v>6155.9</v>
      </c>
      <c r="E7" s="21" t="n">
        <v>5434.6</v>
      </c>
    </row>
    <row r="8">
      <c r="A8" s="3" t="inlineStr">
        <is>
          <t>EBITDA, TTM ($M)</t>
        </is>
      </c>
      <c r="B8" s="21" t="n">
        <v>2897</v>
      </c>
      <c r="C8" s="21" t="n">
        <v>12899</v>
      </c>
      <c r="D8" s="21" t="n">
        <v>2662.6</v>
      </c>
      <c r="E8" s="21" t="n">
        <v>-1036.3</v>
      </c>
    </row>
    <row r="9">
      <c r="A9" s="3" t="inlineStr">
        <is>
          <t>Forward EPS ($)</t>
        </is>
      </c>
      <c r="B9" s="23" t="n">
        <v>5.005</v>
      </c>
      <c r="C9" s="23" t="n">
        <v>16.023</v>
      </c>
      <c r="D9" s="23" t="n">
        <v>2.352</v>
      </c>
      <c r="E9" s="23" t="n">
        <v>3.008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s="24">
        <f>D6/D8</f>
        <v/>
      </c>
      <c r="E11" t="inlineStr">
        <is>
          <t>n/a</t>
        </is>
      </c>
    </row>
    <row r="12">
      <c r="A12" s="3" t="inlineStr">
        <is>
          <t>Trailing P/E</t>
        </is>
      </c>
      <c r="B12" s="24" t="n">
        <v>88.73</v>
      </c>
      <c r="C12" s="24" t="n">
        <v>21.98</v>
      </c>
      <c r="D12" s="24" t="n">
        <v>160.37</v>
      </c>
      <c r="E12" t="inlineStr">
        <is>
          <t>n/a</t>
        </is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NOW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Reference only: PLTR's 69x sales skews the median; SaaS comps need growth-adjustment — DCF is the operative lens.</t>
        </is>
      </c>
    </row>
    <row r="22">
      <c r="A22" s="3" t="inlineStr">
        <is>
          <t>Median peer forward P/E</t>
        </is>
      </c>
      <c r="B22" s="24">
        <f>MEDIAN(C13:E13)</f>
        <v/>
      </c>
    </row>
    <row r="23">
      <c r="A23" s="3" t="inlineStr">
        <is>
          <t>NOW forward EPS ($)</t>
        </is>
      </c>
      <c r="B23" s="23">
        <f>B9</f>
        <v/>
      </c>
    </row>
    <row r="24">
      <c r="A24" s="10" t="inlineStr">
        <is>
          <t>Implied per share — forward P/E ($)</t>
        </is>
      </c>
      <c r="B24" s="23">
        <f>B22*B23</f>
        <v/>
      </c>
      <c r="C24" s="25" t="inlineStr">
        <is>
          <t>Reference only: peer median is set by SNOW/PLTR hypergrowth multiples; not a fair read on a 20%-grower.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Income-statement net income = cash-flow-statement net income for FY2022–FY2025 (max diff $0.0M)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FY2022–FY2025 total revenue 7,245 / 8,971 / 10,984 / 13,278 ($M); FY2021 column blank in source — excluded</t>
        </is>
      </c>
      <c r="C5" s="27" t="inlineStr">
        <is>
          <t>PASS</t>
        </is>
      </c>
    </row>
    <row r="6" ht="30" customHeight="1">
      <c r="A6" s="26" t="inlineStr">
        <is>
          <t>Share count</t>
        </is>
      </c>
      <c r="B6" s="8" t="inlineStr">
        <is>
          <t>1,047.0M diluted weighted avg (FY2025 10-K via Yahoo)</t>
        </is>
      </c>
      <c r="C6" s="27" t="inlineStr">
        <is>
          <t>PASS</t>
        </is>
      </c>
    </row>
    <row r="7" ht="30" customHeight="1">
      <c r="A7" s="26" t="inlineStr">
        <is>
          <t>Net debt bridge</t>
        </is>
      </c>
      <c r="B7" s="8" t="inlineStr">
        <is>
          <t>Q2 2026 balance sheet (2026-06-30): total debt $8,453.0M less cash $2,503.0M = net debt $5,950.0M; debt jumped from $2.4B at FY2025 year-end — acquisition financing, flagged in memo</t>
        </is>
      </c>
      <c r="C7" s="27" t="inlineStr">
        <is>
          <t>PASS</t>
        </is>
      </c>
    </row>
    <row r="8" ht="30" customHeight="1">
      <c r="A8" s="26" t="inlineStr">
        <is>
          <t>Beta</t>
        </is>
      </c>
      <c r="B8" s="8" t="inlineStr">
        <is>
          <t>0.97 used; Yahoo Finance 0.99 (2026-10-19); cross-checked 0.96 (Finnhub), 0.99 (MarketBeat), 0.66 (Public.com)</t>
        </is>
      </c>
      <c r="C8" s="27" t="inlineStr">
        <is>
          <t>PASS</t>
        </is>
      </c>
    </row>
    <row r="9" ht="30" customHeight="1">
      <c r="A9" s="26" t="inlineStr">
        <is>
          <t>Risk-free rate</t>
        </is>
      </c>
      <c r="B9" s="8" t="inlineStr">
        <is>
          <t>US 10Y 5.1% on 2026-10-19 (Reuters) — shared framework input</t>
        </is>
      </c>
      <c r="C9" s="27" t="inlineStr">
        <is>
          <t>PASS</t>
        </is>
      </c>
    </row>
    <row r="10" ht="30" customHeight="1">
      <c r="A10" s="26" t="inlineStr">
        <is>
          <t>Tax normalization</t>
        </is>
      </c>
      <c r="B10" s="8" t="inlineStr">
        <is>
          <t>FY2023 tax provision was –$723M (valuation-allowance release); model uses 21% statutory forward — flagged as judgment on Assumptions</t>
        </is>
      </c>
      <c r="C10" s="27" t="inlineStr">
        <is>
          <t>PASS</t>
        </is>
      </c>
    </row>
    <row r="11" ht="30" customHeight="1">
      <c r="A11" s="26" t="inlineStr">
        <is>
          <t>Model FCF is conservative vs reported</t>
        </is>
      </c>
      <c r="B11" s="8" t="inlineStr">
        <is>
          <t>FY2025 reported FCF $4,533M (34.1% margin) vs model bridge ~27%: ~$1.0B of deferred-tax/other non-cash add-backs excluded — treated as non-recurring timing; disclosed here, does not change the recommendation</t>
        </is>
      </c>
      <c r="C11" s="27" t="inlineStr">
        <is>
          <t>PASS</t>
        </is>
      </c>
    </row>
    <row r="12" ht="30" customHeight="1">
      <c r="A12" s="26" t="inlineStr">
        <is>
          <t>DCF vs market gap is explainable</t>
        </is>
      </c>
      <c r="B12" s="8" t="inlineStr">
        <is>
          <t>Base per-share trails $141.97 by ~29%: a 9.2% WACC on 20%-tapering growth cannot support 89x trailing earnings; the market prices NOW as a 25%+ perpetual compounder</t>
        </is>
      </c>
      <c r="C12" s="27" t="inlineStr">
        <is>
          <t>PASS</t>
        </is>
      </c>
    </row>
    <row r="13" ht="30" customHeight="1">
      <c r="A13" s="26" t="inlineStr">
        <is>
          <t>Comps market data as-of</t>
        </is>
      </c>
      <c r="B13" s="8" t="inlineStr">
        <is>
          <t>CRM / NOW / SNOW / PLTR Oct 16 closes and TTM financials pulled 2026-10-19 via Yahoo Finance</t>
        </is>
      </c>
      <c r="C13" s="27" t="inlineStr">
        <is>
          <t>PASS</t>
        </is>
      </c>
    </row>
    <row r="14" ht="30" customHeight="1">
      <c r="A14" s="26" t="inlineStr">
        <is>
          <t>FCF bridge reconciles</t>
        </is>
      </c>
      <c r="B14" s="8" t="inlineStr">
        <is>
          <t>Formula check: EV = sum of PV of FCF + PV of terminal value</t>
        </is>
      </c>
      <c r="C14" s="27">
        <f>IF(ABS(DCF_Base!B22-(DCF_Base!B19+DCF_Base!B21))&lt;0.5,"PASS","FAIL")</f>
        <v/>
      </c>
    </row>
    <row r="15" ht="30" customHeight="1">
      <c r="A15" s="26" t="inlineStr">
        <is>
          <t>Per-share arithmetic</t>
        </is>
      </c>
      <c r="B15" s="8" t="inlineStr">
        <is>
          <t>Formula check: per-share = equity value / shares</t>
        </is>
      </c>
      <c r="C15" s="27">
        <f>IF(ABS(DCF_Base!B26-DCF_Base!B24/DCF_Base!B25)&lt;0.01,"PASS","FAIL")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NOW quote &amp; financials</t>
        </is>
      </c>
      <c r="C4" s="29" t="inlineStr">
        <is>
          <t>https://finance.yahoo.com/quote/NOW</t>
        </is>
      </c>
      <c r="D4" s="28" t="inlineStr">
        <is>
          <t>2026-10-19</t>
        </is>
      </c>
      <c r="E4" s="8" t="inlineStr">
        <is>
          <t>quote &amp; financials</t>
        </is>
      </c>
    </row>
    <row r="5" ht="28" customHeight="1">
      <c r="A5" s="28" t="n">
        <v>2</v>
      </c>
      <c r="B5" s="8" t="inlineStr">
        <is>
          <t>Yahoo Finance — CRM comps market data</t>
        </is>
      </c>
      <c r="C5" s="29" t="inlineStr">
        <is>
          <t>https://finance.yahoo.com/quote/CRM</t>
        </is>
      </c>
      <c r="D5" s="28" t="inlineStr">
        <is>
          <t>2026-10-19</t>
        </is>
      </c>
      <c r="E5" s="8" t="inlineStr">
        <is>
          <t>comps market data</t>
        </is>
      </c>
    </row>
    <row r="6" ht="28" customHeight="1">
      <c r="A6" s="28" t="n">
        <v>3</v>
      </c>
      <c r="B6" s="8" t="inlineStr">
        <is>
          <t>Yahoo Finance — SNOW comps market data</t>
        </is>
      </c>
      <c r="C6" s="29" t="inlineStr">
        <is>
          <t>https://finance.yahoo.com/quote/SNOW</t>
        </is>
      </c>
      <c r="D6" s="28" t="inlineStr">
        <is>
          <t>2026-10-19</t>
        </is>
      </c>
      <c r="E6" s="8" t="inlineStr">
        <is>
          <t>comps market data</t>
        </is>
      </c>
    </row>
    <row r="7" ht="28" customHeight="1">
      <c r="A7" s="28" t="n">
        <v>4</v>
      </c>
      <c r="B7" s="8" t="inlineStr">
        <is>
          <t>Yahoo Finance — PLTR comps market data</t>
        </is>
      </c>
      <c r="C7" s="29" t="inlineStr">
        <is>
          <t>https://finance.yahoo.com/quote/PLTR</t>
        </is>
      </c>
      <c r="D7" s="28" t="inlineStr">
        <is>
          <t>2026-10-19</t>
        </is>
      </c>
      <c r="E7" s="8" t="inlineStr">
        <is>
          <t>comps market data</t>
        </is>
      </c>
    </row>
    <row r="8" ht="28" customHeight="1">
      <c r="A8" s="28" t="n">
        <v>5</v>
      </c>
      <c r="B8" s="8" t="inlineStr">
        <is>
          <t>Reuters — 10Y yield 5.085% on Oct 19, 2026</t>
        </is>
      </c>
      <c r="C8" s="29" t="inlineStr">
        <is>
          <t>https://www.reuters.com/business/wall-st-futures-climb-ai-stocks-rebound-oil-yields-fall-2026-10-19/</t>
        </is>
      </c>
      <c r="D8" s="28" t="inlineStr">
        <is>
          <t>2026-10-19</t>
        </is>
      </c>
      <c r="E8" s="8" t="inlineStr">
        <is>
          <t>Risk-free rate (5.1%)</t>
        </is>
      </c>
    </row>
    <row r="9" ht="28" customHeight="1">
      <c r="A9" s="28" t="n">
        <v>6</v>
      </c>
      <c r="B9" s="8" t="inlineStr">
        <is>
          <t>Finnhub — NOW</t>
        </is>
      </c>
      <c r="C9" s="29" t="inlineStr">
        <is>
          <t>https://finnhub.io/?q=%22NOW%22</t>
        </is>
      </c>
      <c r="D9" s="28" t="inlineStr">
        <is>
          <t>2026-10-19</t>
        </is>
      </c>
      <c r="E9" s="8" t="inlineStr">
        <is>
          <t>Beta cross-check (0.96)</t>
        </is>
      </c>
    </row>
    <row r="10" ht="28" customHeight="1">
      <c r="A10" s="28" t="n">
        <v>7</v>
      </c>
      <c r="B10" s="8" t="inlineStr">
        <is>
          <t>A.L. Capital Advisory — NOW</t>
        </is>
      </c>
      <c r="C10" s="29" t="inlineStr">
        <is>
          <t>https://alcapitaladvisory.com/research/equities/now.html</t>
        </is>
      </c>
      <c r="D10" s="28" t="inlineStr">
        <is>
          <t>2026-10-19</t>
        </is>
      </c>
      <c r="E10" s="8" t="inlineStr">
        <is>
          <t>Beta (0.99) context</t>
        </is>
      </c>
    </row>
    <row r="11" ht="28" customHeight="1">
      <c r="A11" s="28" t="n">
        <v>8</v>
      </c>
      <c r="B11" s="8" t="inlineStr">
        <is>
          <t>stockanalysis.com — NOW (BVMF)</t>
        </is>
      </c>
      <c r="C11" s="29" t="inlineStr">
        <is>
          <t>https://stockanalysis.com/quote/bvmf/N1OW34/</t>
        </is>
      </c>
      <c r="D11" s="28" t="inlineStr">
        <is>
          <t>2026-10-19</t>
        </is>
      </c>
      <c r="E11" s="8" t="inlineStr">
        <is>
          <t>Beta cross-check (0.99)</t>
        </is>
      </c>
    </row>
    <row r="12" ht="28" customHeight="1">
      <c r="A12" s="28" t="n">
        <v>9</v>
      </c>
      <c r="B12" s="8" t="inlineStr">
        <is>
          <t>Public.com — NOW</t>
        </is>
      </c>
      <c r="C12" s="29" t="inlineStr">
        <is>
          <t>https://Public.com/stocks/now</t>
        </is>
      </c>
      <c r="D12" s="28" t="inlineStr">
        <is>
          <t>2026-10-19</t>
        </is>
      </c>
      <c r="E12" s="8" t="inlineStr">
        <is>
          <t>Beta cross-check (0.66)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2026-10-19T15:39:09+00:00Z</dcterms:created>
  <dcterms:modified xmlns:dcterms="http://purl.org/dc/terms/" xmlns:xsi="http://www.w3.org/2001/XMLSchema-instance" xsi:type="dcterms:W3CDTF">2026-10-19T15:39:09+00:00Z</dcterms:modified>
</cp:coreProperties>
</file>