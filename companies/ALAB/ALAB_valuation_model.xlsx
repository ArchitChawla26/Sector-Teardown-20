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ALAB" TargetMode="External" Id="rId1"/><Relationship Type="http://schemas.openxmlformats.org/officeDocument/2006/relationships/hyperlink" Target="https://www.marketbeat.com/instant-alerts/filing-astera-labs-inc-alab-shares-purchased-by-assenagon-asset-management-sa-2026-10-19/" TargetMode="External" Id="rId2"/><Relationship Type="http://schemas.openxmlformats.org/officeDocument/2006/relationships/hyperlink" Target="https://finnhub.io/?q=%22ALAB%22" TargetMode="External" Id="rId3"/><Relationship Type="http://schemas.openxmlformats.org/officeDocument/2006/relationships/hyperlink" Target="https://lf0.com/research/astera-labs-stock-analysis-alab/" TargetMode="External" Id="rId4"/><Relationship Type="http://schemas.openxmlformats.org/officeDocument/2006/relationships/hyperlink" Target="https://www.reuters.com/business/wall-st-futures-climb-ai-stocks-rebound-oil-yields-fall-2026-10-19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Astera Labs, Inc. (NASDAQ: ALAB)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285.82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purest AI-connectivity play in the group — explosive growth, but a 21.75% discount rate and a two-year public record mean the quote needs the bull case just to stand still.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Financials from Yahoo Finance annual statements (FY2022–FY2025 (fiscal year ends December))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NVDA, AVGO, AMD: EV/Revenue, EV/EBITDA, P/E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(ALAB)</t>
        </is>
      </c>
      <c r="B6" s="15" t="n">
        <v>3.7</v>
      </c>
      <c r="C6" s="12" t="inlineStr">
        <is>
          <t>[DATA]</t>
        </is>
      </c>
      <c r="D6" s="13" t="inlineStr">
        <is>
          <t>Yahoo Finance 3.69 (2026-10-19); cross-checked MarketBeat 3.68, Finnhub 3.73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0.06</v>
      </c>
      <c r="C8" s="14" t="inlineStr">
        <is>
          <t>[JUDGMENT]</t>
        </is>
      </c>
      <c r="D8" s="13" t="inlineStr">
        <is>
          <t>Speculative-grade proxy; immaterial — company is net cash (WACC ≈ cost of equity)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company only turned profitable in FY2025 (tax provision –$1M) — normalized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50829.4</v>
      </c>
      <c r="C11" s="12" t="inlineStr">
        <is>
          <t>[DATA]</t>
        </is>
      </c>
      <c r="D11" s="13" t="inlineStr">
        <is>
          <t>Yahoo Finance 2026-10-19 ($50.8B); price × shares cross-check: $49.6B</t>
        </is>
      </c>
    </row>
    <row r="12">
      <c r="A12" s="3" t="inlineStr">
        <is>
          <t>Book value of debt ($M)</t>
        </is>
      </c>
      <c r="B12" s="18" t="n">
        <v>4</v>
      </c>
      <c r="C12" s="12" t="inlineStr">
        <is>
          <t>[DATA]</t>
        </is>
      </c>
      <c r="D12" s="13" t="inlineStr">
        <is>
          <t>FY2025 annual balance sheet (quarterly debt field NaN in Yahoo pull; immaterial either way)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(FY2026–FY2030)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0.8</v>
      </c>
      <c r="C21" s="11" t="n">
        <v>0.55</v>
      </c>
      <c r="D21" s="11" t="n">
        <v>0.4</v>
      </c>
      <c r="E21" s="11" t="n">
        <v>0.3</v>
      </c>
      <c r="F21" s="11" t="n">
        <v>0.25</v>
      </c>
      <c r="G21" s="14" t="inlineStr">
        <is>
          <t>[JUDGMENT]</t>
        </is>
      </c>
      <c r="H21" s="13" t="inlineStr">
        <is>
          <t>Q2 2026 revenue +104.5% YoY ($392.4M); taper from FY2025 +115.4%</t>
        </is>
      </c>
    </row>
    <row r="22">
      <c r="A22" s="3" t="inlineStr">
        <is>
          <t>Revenue growth — bull</t>
        </is>
      </c>
      <c r="B22" s="11" t="n">
        <v>1</v>
      </c>
      <c r="C22" s="11" t="n">
        <v>0.7</v>
      </c>
      <c r="D22" s="11" t="n">
        <v>0.5</v>
      </c>
      <c r="E22" s="11" t="n">
        <v>0.38</v>
      </c>
      <c r="F22" s="11" t="n">
        <v>0.3</v>
      </c>
      <c r="G22" s="14" t="inlineStr">
        <is>
          <t>[JUDGMENT]</t>
        </is>
      </c>
      <c r="H22" s="13" t="inlineStr">
        <is>
          <t>Aries/Scorpio/Taurus ramps compound; CXL attach sustains &gt;50% CAGR</t>
        </is>
      </c>
    </row>
    <row r="23">
      <c r="A23" s="3" t="inlineStr">
        <is>
          <t>Revenue growth — bear</t>
        </is>
      </c>
      <c r="B23" s="11" t="n">
        <v>0.5</v>
      </c>
      <c r="C23" s="11" t="n">
        <v>0.3</v>
      </c>
      <c r="D23" s="11" t="n">
        <v>0.1</v>
      </c>
      <c r="E23" s="11" t="n">
        <v>-0.2</v>
      </c>
      <c r="F23" s="11" t="n">
        <v>0.15</v>
      </c>
      <c r="G23" s="14" t="inlineStr">
        <is>
          <t>[JUDGMENT]</t>
        </is>
      </c>
      <c r="H23" s="13" t="inlineStr">
        <is>
          <t>Semi down-cycle in FY2029 (−20%): connectivity orders cut as datacenter digestion hits</t>
        </is>
      </c>
    </row>
    <row r="24">
      <c r="A24" s="3" t="inlineStr">
        <is>
          <t>EBITDA margin — base</t>
        </is>
      </c>
      <c r="B24" s="11" t="n">
        <v>0.24</v>
      </c>
      <c r="C24" s="11" t="n">
        <v>0.27</v>
      </c>
      <c r="D24" s="11" t="n">
        <v>0.3</v>
      </c>
      <c r="E24" s="11" t="n">
        <v>0.32</v>
      </c>
      <c r="F24" s="11" t="n">
        <v>0.34</v>
      </c>
      <c r="G24" s="14" t="inlineStr">
        <is>
          <t>[JUDGMENT]</t>
        </is>
      </c>
      <c r="H24" s="13" t="inlineStr">
        <is>
          <t>FY2025 EBITDA margin 21.1%; expand to 34% on scale</t>
        </is>
      </c>
    </row>
    <row r="25">
      <c r="A25" s="3" t="inlineStr">
        <is>
          <t>EBITDA margin — bull</t>
        </is>
      </c>
      <c r="B25" s="11" t="n">
        <v>0.27</v>
      </c>
      <c r="C25" s="11" t="n">
        <v>0.31</v>
      </c>
      <c r="D25" s="11" t="n">
        <v>0.34</v>
      </c>
      <c r="E25" s="11" t="n">
        <v>0.36</v>
      </c>
      <c r="F25" s="11" t="n">
        <v>0.38</v>
      </c>
      <c r="G25" s="14" t="inlineStr">
        <is>
          <t>[JUDGMENT]</t>
        </is>
      </c>
      <c r="H25" s="13" t="inlineStr">
        <is>
          <t>38% EBITDA margin on software-rich connectivity mix</t>
        </is>
      </c>
    </row>
    <row r="26">
      <c r="A26" s="3" t="inlineStr">
        <is>
          <t>EBITDA margin — bear</t>
        </is>
      </c>
      <c r="B26" s="11" t="n">
        <v>0.2</v>
      </c>
      <c r="C26" s="11" t="n">
        <v>0.19</v>
      </c>
      <c r="D26" s="11" t="n">
        <v>0.17</v>
      </c>
      <c r="E26" s="11" t="n">
        <v>0.15</v>
      </c>
      <c r="F26" s="11" t="n">
        <v>0.16</v>
      </c>
      <c r="G26" s="14" t="inlineStr">
        <is>
          <t>[JUDGMENT]</t>
        </is>
      </c>
      <c r="H26" s="13" t="inlineStr">
        <is>
          <t>Margin compression in the down year as volumes fall</t>
        </is>
      </c>
    </row>
    <row r="28">
      <c r="A28" s="3" t="inlineStr">
        <is>
          <t>D&amp;A (% of revenue)</t>
        </is>
      </c>
      <c r="B28" s="11" t="n">
        <v>0.01</v>
      </c>
      <c r="G28" s="14" t="inlineStr">
        <is>
          <t>[JUDGMENT]</t>
        </is>
      </c>
      <c r="H28" s="13" t="inlineStr">
        <is>
          <t>FY2025: 0.8% of revenue (fabless; minimal fixed assets)</t>
        </is>
      </c>
    </row>
    <row r="29">
      <c r="A29" s="3" t="inlineStr">
        <is>
          <t>Stock-based comp. (% of revenue)</t>
        </is>
      </c>
      <c r="B29" s="11" t="n">
        <v>0.16</v>
      </c>
      <c r="C29" s="11" t="n">
        <v>0.14</v>
      </c>
      <c r="D29" s="11" t="n">
        <v>0.12</v>
      </c>
      <c r="E29" s="11" t="n">
        <v>0.1</v>
      </c>
      <c r="F29" s="11" t="n">
        <v>0.08</v>
      </c>
      <c r="G29" s="14" t="inlineStr">
        <is>
          <t>[JUDGMENT]</t>
        </is>
      </c>
      <c r="H29" s="13" t="inlineStr">
        <is>
          <t>FY2025: 18.8% of revenue; declining as revenue scales past SBC</t>
        </is>
      </c>
    </row>
    <row r="30">
      <c r="A30" s="3" t="inlineStr">
        <is>
          <t>Capex (% of revenue)</t>
        </is>
      </c>
      <c r="B30" s="11" t="n">
        <v>0.04</v>
      </c>
      <c r="G30" s="14" t="inlineStr">
        <is>
          <t>[JUDGMENT]</t>
        </is>
      </c>
      <c r="H30" s="13" t="inlineStr">
        <is>
          <t>FY2025: 4.4% of revenue</t>
        </is>
      </c>
    </row>
    <row r="31">
      <c r="A31" s="3" t="inlineStr">
        <is>
          <t>Change in NWC (% of revenue growth)</t>
        </is>
      </c>
      <c r="B31" s="11" t="n">
        <v>0.05</v>
      </c>
      <c r="G31" s="14" t="inlineStr">
        <is>
          <t>[JUDGMENT]</t>
        </is>
      </c>
      <c r="H31" s="13" t="inlineStr">
        <is>
          <t>Receivables/inventory scale with semi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1" t="n">
        <v>-164</v>
      </c>
      <c r="G35" s="12" t="inlineStr">
        <is>
          <t>[DATA]</t>
        </is>
      </c>
      <c r="H35" s="13" t="inlineStr">
        <is>
          <t>FY2025 annual: cash &amp; equivalents $168M less total debt $4M = net cash $164M</t>
        </is>
      </c>
    </row>
    <row r="36">
      <c r="A36" s="3" t="inlineStr">
        <is>
          <t>Diluted shares outstanding (M)</t>
        </is>
      </c>
      <c r="B36" s="18" t="n">
        <v>173.5</v>
      </c>
      <c r="G36" s="12" t="inlineStr">
        <is>
          <t>[DATA]</t>
        </is>
      </c>
      <c r="H36" s="13" t="inlineStr">
        <is>
          <t>Yahoo Finance sharesOutstanding, Oct 2026 (FY2025 diluted weighted avg: 180M)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ALAB</t>
        </is>
      </c>
    </row>
    <row r="2" ht="18" customHeight="1">
      <c r="A2" s="2" t="inlineStr">
        <is>
          <t>$ millions. Source: Yahoo Finance annual statements (filing-derived), as of 2026-10-19. SHORT HISTORY — ALAB IPO'd March 2024; FY2022–FY2023 annuals are S-1/filing-derived and pre-date the public listing. Public trading history is ~2 years.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80</v>
      </c>
      <c r="C4" s="21" t="n">
        <v>116</v>
      </c>
      <c r="D4" s="21" t="n">
        <v>396</v>
      </c>
      <c r="E4" s="21" t="n">
        <v>853</v>
      </c>
    </row>
    <row r="5">
      <c r="A5" s="3" t="inlineStr">
        <is>
          <t>Gross profit</t>
        </is>
      </c>
      <c r="B5" s="21" t="n">
        <v>59</v>
      </c>
      <c r="C5" s="21" t="n">
        <v>80</v>
      </c>
      <c r="D5" s="21" t="n">
        <v>303</v>
      </c>
      <c r="E5" s="21" t="n">
        <v>645</v>
      </c>
    </row>
    <row r="6">
      <c r="A6" s="3" t="inlineStr">
        <is>
          <t>EBITDA</t>
        </is>
      </c>
      <c r="B6" s="21" t="n">
        <v>-59</v>
      </c>
      <c r="C6" s="21" t="n">
        <v>-28</v>
      </c>
      <c r="D6" s="21" t="n">
        <v>-113</v>
      </c>
      <c r="E6" s="21" t="n">
        <v>180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-60</v>
      </c>
      <c r="C8" s="21" t="n">
        <v>-29</v>
      </c>
      <c r="D8" s="21" t="n">
        <v>-116</v>
      </c>
      <c r="E8" s="21" t="n">
        <v>173</v>
      </c>
    </row>
    <row r="9">
      <c r="A9" s="3" t="inlineStr">
        <is>
          <t>Net income</t>
        </is>
      </c>
      <c r="B9" s="21" t="n">
        <v>-58</v>
      </c>
      <c r="C9" s="21" t="n">
        <v>-26</v>
      </c>
      <c r="D9" s="21" t="n">
        <v>-83</v>
      </c>
      <c r="E9" s="21" t="n">
        <v>219</v>
      </c>
    </row>
    <row r="10">
      <c r="A10" s="3" t="inlineStr">
        <is>
          <t>Diluted average shares (M)</t>
        </is>
      </c>
      <c r="B10" s="21" t="n">
        <v>130</v>
      </c>
      <c r="C10" s="21" t="n">
        <v>153</v>
      </c>
      <c r="D10" s="21" t="n">
        <v>131</v>
      </c>
      <c r="E10" s="21" t="n">
        <v>180</v>
      </c>
    </row>
    <row r="11">
      <c r="A11" s="3" t="inlineStr">
        <is>
          <t>Operating cash flow</t>
        </is>
      </c>
      <c r="B11" s="21" t="n">
        <v>-36</v>
      </c>
      <c r="C11" s="21" t="n">
        <v>-13</v>
      </c>
      <c r="D11" s="21" t="n">
        <v>137</v>
      </c>
      <c r="E11" s="21" t="n">
        <v>319</v>
      </c>
    </row>
    <row r="12">
      <c r="A12" s="3" t="inlineStr">
        <is>
          <t>Capital expenditures</t>
        </is>
      </c>
      <c r="B12" s="21" t="n">
        <v>-4</v>
      </c>
      <c r="C12" s="21" t="n">
        <v>-3</v>
      </c>
      <c r="D12" s="21" t="n">
        <v>-34</v>
      </c>
      <c r="E12" s="21" t="n">
        <v>-38</v>
      </c>
    </row>
    <row r="13">
      <c r="A13" s="3" t="inlineStr">
        <is>
          <t>Free cash flow</t>
        </is>
      </c>
      <c r="B13" s="21" t="n">
        <v>-40</v>
      </c>
      <c r="C13" s="21" t="n">
        <v>-15</v>
      </c>
      <c r="D13" s="21" t="n">
        <v>102</v>
      </c>
      <c r="E13" s="21" t="n">
        <v>282</v>
      </c>
    </row>
    <row r="14">
      <c r="A14" s="3" t="inlineStr">
        <is>
          <t>Cash &amp; equivalents</t>
        </is>
      </c>
      <c r="B14" s="21" t="n">
        <v>76</v>
      </c>
      <c r="C14" s="21" t="n">
        <v>45</v>
      </c>
      <c r="D14" s="21" t="n">
        <v>80</v>
      </c>
      <c r="E14" s="21" t="n">
        <v>168</v>
      </c>
    </row>
    <row r="15">
      <c r="A15" s="3" t="inlineStr">
        <is>
          <t>Total debt</t>
        </is>
      </c>
      <c r="B15" s="21" t="n">
        <v>2</v>
      </c>
      <c r="C15" s="21" t="n">
        <v>2</v>
      </c>
      <c r="D15" s="21" t="n">
        <v>1</v>
      </c>
      <c r="E15" s="21" t="n">
        <v>4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Astera Labs, Inc. (ALAB)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Astera Labs, Inc. (ALAB)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Astera Labs, Inc. (ALAB)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AI infrastructure &amp; semiconductors</t>
        </is>
      </c>
    </row>
    <row r="2" ht="18" customHeight="1">
      <c r="A2" s="2" t="inlineStr">
        <is>
          <t>Market data as of 2026-10-16 (Yahoo Finance, frozen in data/). $ millions, except price and per-share.</t>
        </is>
      </c>
    </row>
    <row r="3">
      <c r="A3" s="20" t="inlineStr"/>
      <c r="B3" s="20" t="inlineStr">
        <is>
          <t>ALAB</t>
        </is>
      </c>
      <c r="C3" s="20" t="inlineStr">
        <is>
          <t>NVDA</t>
        </is>
      </c>
      <c r="D3" s="20" t="inlineStr">
        <is>
          <t>AVGO</t>
        </is>
      </c>
      <c r="E3" s="20" t="inlineStr">
        <is>
          <t>AMD</t>
        </is>
      </c>
    </row>
    <row r="4">
      <c r="A4" s="3" t="inlineStr">
        <is>
          <t>Price ($, Oct 16 close)</t>
        </is>
      </c>
      <c r="B4" s="23" t="n">
        <v>285.82</v>
      </c>
      <c r="C4" s="23" t="n">
        <v>214.13</v>
      </c>
      <c r="D4" s="23" t="n">
        <v>328.75</v>
      </c>
      <c r="E4" s="23" t="n">
        <v>528.75</v>
      </c>
    </row>
    <row r="5">
      <c r="A5" s="3" t="inlineStr">
        <is>
          <t>Market cap ($M)</t>
        </is>
      </c>
      <c r="B5" s="21" t="n">
        <v>50829.4</v>
      </c>
      <c r="C5" s="21" t="n">
        <v>5278775.4</v>
      </c>
      <c r="D5" s="21" t="n">
        <v>1620074.6</v>
      </c>
      <c r="E5" s="21" t="n">
        <v>902049.6</v>
      </c>
    </row>
    <row r="6">
      <c r="A6" s="3" t="inlineStr">
        <is>
          <t>Enterprise value ($M)</t>
        </is>
      </c>
      <c r="B6" s="21" t="n">
        <v>48377</v>
      </c>
      <c r="C6" s="21" t="n">
        <v>5136924</v>
      </c>
      <c r="D6" s="21" t="n">
        <v>1604774.8</v>
      </c>
      <c r="E6" s="21" t="n">
        <v>854336.2</v>
      </c>
    </row>
    <row r="7">
      <c r="A7" s="3" t="inlineStr">
        <is>
          <t>Revenue, TTM ($M)</t>
        </is>
      </c>
      <c r="B7" s="21" t="n">
        <v>1201.9</v>
      </c>
      <c r="C7" s="21" t="n">
        <v>302970</v>
      </c>
      <c r="D7" s="21" t="n">
        <v>89104</v>
      </c>
      <c r="E7" s="21" t="n">
        <v>41305</v>
      </c>
    </row>
    <row r="8">
      <c r="A8" s="3" t="inlineStr">
        <is>
          <t>EBITDA, TTM ($M)</t>
        </is>
      </c>
      <c r="B8" s="21" t="n">
        <v>285.4</v>
      </c>
      <c r="C8" s="21" t="n">
        <v>201266</v>
      </c>
      <c r="D8" s="21" t="n">
        <v>52260</v>
      </c>
      <c r="E8" s="21" t="n">
        <v>9562</v>
      </c>
    </row>
    <row r="9">
      <c r="A9" s="3" t="inlineStr">
        <is>
          <t>Forward EPS ($)</t>
        </is>
      </c>
      <c r="B9" s="23" t="n">
        <v>6.4031</v>
      </c>
      <c r="C9" s="23" t="n">
        <v>15.9146</v>
      </c>
      <c r="D9" s="23" t="n">
        <v>19.397</v>
      </c>
      <c r="E9" s="23" t="n">
        <v>15.7621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144.33</v>
      </c>
      <c r="C12" s="24" t="n">
        <v>27.64</v>
      </c>
      <c r="D12" s="24" t="n">
        <v>43.34</v>
      </c>
      <c r="E12" s="24" t="n">
        <v>140.96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ALAB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EV/Revenue (median peer 18.0x → $125.71) reflects peers' scale; ALAB's 40.3x is a hyper-growth multiple — not the operative lens.</t>
        </is>
      </c>
    </row>
    <row r="22">
      <c r="A22" s="3" t="inlineStr">
        <is>
          <t>Median peer EV / EBITDA</t>
        </is>
      </c>
      <c r="B22" s="24">
        <f>MEDIAN(C11:E11)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3" t="inlineStr">
        <is>
          <t>Implied equity ($M)</t>
        </is>
      </c>
      <c r="B24" s="21">
        <f>B22-Assumptions!$B$35</f>
        <v/>
      </c>
    </row>
    <row r="25">
      <c r="A25" s="10" t="inlineStr">
        <is>
          <t>Implied per share — EV/EBITDA ($)</t>
        </is>
      </c>
      <c r="B25" s="23">
        <f>B24/Assumptions!$B$36</f>
        <v/>
      </c>
      <c r="C25" s="25" t="inlineStr">
        <is>
          <t>[JUDGMENT] Operative comps lens: EV/EBITDA at median peer 30.7x → $50.62. ALAB's own 169.5x is a hyper-growth multiple, not a comp.</t>
        </is>
      </c>
    </row>
    <row r="27">
      <c r="A27" s="3" t="inlineStr">
        <is>
          <t>Median peer forward P/E</t>
        </is>
      </c>
      <c r="B27" s="24">
        <f>MEDIAN(C13:F13)</f>
        <v/>
      </c>
    </row>
    <row r="28">
      <c r="A28" s="3" t="inlineStr">
        <is>
          <t>ALAB forward EPS ($)</t>
        </is>
      </c>
      <c r="B28" s="23">
        <f>B9</f>
        <v/>
      </c>
    </row>
    <row r="29">
      <c r="A29" s="7" t="inlineStr">
        <is>
          <t>Implied per share — forward P/E ($)</t>
        </is>
      </c>
      <c r="B29" s="23">
        <f>B27*B28</f>
        <v/>
      </c>
      <c r="C29" s="25" t="inlineStr">
        <is>
          <t>Forward P/E shown for reference; DCF is the primary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Cash-flow 'Net Income From Continuing Operations' = income-statement net income for FY2022–FY2025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FY2022–FY2025 total revenue 80.0 / 116.0 / 396.0 / 853.0 ($M) from Yahoo Finance annual income statement; all years S-1/filing-derived, pre-IPO for FY2022–FY2023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173.5M outstanding (Yahoo Finance, Oct 2026); FY2025 diluted weighted avg 180M (10-K via Yahoo). Delta &lt;4%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FY2025 annual: cash &amp; equivalents $168M less total debt $4M = net cash $164M; quarterly debt field NaN in Yahoo pull — immaterial either way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3.70 (Yahoo Finance 3.69, 2026-10-19); cross-checked MarketBeat 3.68, Finnhub 3.73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— shared framework constant, already verified</t>
        </is>
      </c>
      <c r="C9" s="27" t="inlineStr">
        <is>
          <t>PASS</t>
        </is>
      </c>
    </row>
    <row r="10" ht="30" customHeight="1">
      <c r="A10" s="26" t="inlineStr">
        <is>
          <t>Comps market data as-of</t>
        </is>
      </c>
      <c r="B10" s="8" t="inlineStr">
        <is>
          <t>NVDA / AVGO / AMD / ALAB Oct 16 closes and TTM fields pulled 2026-10-19 via Yahoo Finance (frozen in data/)</t>
        </is>
      </c>
      <c r="C10" s="27" t="inlineStr">
        <is>
          <t>PASS</t>
        </is>
      </c>
    </row>
    <row r="11" ht="30" customHeight="1">
      <c r="A11" s="26" t="inlineStr">
        <is>
          <t>FCF bridge reconciles</t>
        </is>
      </c>
      <c r="B11" s="8" t="inlineStr">
        <is>
          <t>Formula check: EV = sum of PV of FCF + PV of terminal value</t>
        </is>
      </c>
      <c r="C11" s="27">
        <f>IF(ABS(DCF_Base!B22-(DCF_Base!B19+DCF_Base!B21))&lt;0.5,"PASS","FAIL")</f>
        <v/>
      </c>
    </row>
    <row r="12" ht="30" customHeight="1">
      <c r="A12" s="26" t="inlineStr">
        <is>
          <t>Per-share arithmetic</t>
        </is>
      </c>
      <c r="B12" s="8" t="inlineStr">
        <is>
          <t>Formula check: per-share = equity value / shares</t>
        </is>
      </c>
      <c r="C12" s="27">
        <f>IF(ABS(DCF_Base!B26-DCF_Base!B24/DCF_Base!B25)&lt;0.01,"PASS","FAIL")</f>
        <v/>
      </c>
    </row>
    <row r="13" ht="30" customHeight="1">
      <c r="A13" s="26" t="inlineStr">
        <is>
          <t>Short history flagged</t>
        </is>
      </c>
      <c r="B13" s="8" t="inlineStr">
        <is>
          <t>ALAB IPO'd March 2024; FY2022–FY2023 annuals are S-1-derived and pre-date the public listing; only FY2024–FY2025 are full public-company annuals — flagged on Assumptions and Historicals</t>
        </is>
      </c>
      <c r="C13" s="27" t="inlineStr">
        <is>
          <t>PASS</t>
        </is>
      </c>
    </row>
    <row r="14" ht="30" customHeight="1">
      <c r="A14" s="26" t="inlineStr">
        <is>
          <t>Quarterly debt NaN workaround</t>
        </is>
      </c>
      <c r="B14" s="8" t="inlineStr">
        <is>
          <t>Yahoo quarterly balance sheet carries NaN for ALAB debt rows; used FY2025 annual debt $4M vs cash $168M — net cash either way; N/A on exact quarterly debt</t>
        </is>
      </c>
      <c r="C14" s="27" t="inlineStr">
        <is>
          <t>PASS</t>
        </is>
      </c>
    </row>
    <row r="15" ht="30" customHeight="1">
      <c r="A15" s="26" t="inlineStr">
        <is>
          <t>Pre-IPO share counts</t>
        </is>
      </c>
      <c r="B15" s="8" t="inlineStr">
        <is>
          <t>FY2022–FY2023 diluted share counts (130M/153M) are S-1-derived pre-IPO figures; per-share history not used in valuation</t>
        </is>
      </c>
      <c r="C15" s="27" t="inlineStr">
        <is>
          <t>PASS</t>
        </is>
      </c>
    </row>
    <row r="16" ht="30" customHeight="1">
      <c r="A16" s="26" t="inlineStr">
        <is>
          <t>Down-cycle in bear case</t>
        </is>
      </c>
      <c r="B16" s="8" t="inlineStr">
        <is>
          <t>Bear case includes an actual −20% revenue down year (FY2029), not just slower growth — semi cyclicality requirement</t>
        </is>
      </c>
      <c r="C16" s="27" t="inlineStr">
        <is>
          <t>PASS</t>
        </is>
      </c>
    </row>
    <row r="17" ht="30" customHeight="1">
      <c r="A17" s="26" t="inlineStr">
        <is>
          <t>DCF vs market gap is explainable</t>
        </is>
      </c>
      <c r="B17" s="8" t="inlineStr">
        <is>
          <t>Base per-share trails $285.82 because a 21.75% WACC (beta 3.70 × 5.1% risk-free) discounts even ~45% 5-yr revenue CAGR hard; the market prices a flawless hyper-growth ramp</t>
        </is>
      </c>
      <c r="C17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ALAB quote &amp; financials</t>
        </is>
      </c>
      <c r="C4" s="29" t="inlineStr">
        <is>
          <t>https://finance.yahoo.com/quote/ALAB</t>
        </is>
      </c>
      <c r="D4" s="28" t="inlineStr">
        <is>
          <t>2026-10-19</t>
        </is>
      </c>
      <c r="E4" s="8" t="inlineStr">
        <is>
          <t>Price, beta, shares, annual/quarterly statements (frozen in data/)</t>
        </is>
      </c>
    </row>
    <row r="5" ht="28" customHeight="1">
      <c r="A5" s="28" t="n">
        <v>2</v>
      </c>
      <c r="B5" s="8" t="inlineStr">
        <is>
          <t>MarketBeat — ALAB stock analysis</t>
        </is>
      </c>
      <c r="C5" s="29" t="inlineStr">
        <is>
          <t>https://www.marketbeat.com/instant-alerts/filing-astera-labs-inc-alab-shares-purchased-by-assenagon-asset-management-sa-2026-10-19/</t>
        </is>
      </c>
      <c r="D5" s="28" t="inlineStr">
        <is>
          <t>2026-10-19</t>
        </is>
      </c>
      <c r="E5" s="8" t="inlineStr">
        <is>
          <t>Beta (3.68) cross-check; price and earnings context</t>
        </is>
      </c>
    </row>
    <row r="6" ht="28" customHeight="1">
      <c r="A6" s="28" t="n">
        <v>3</v>
      </c>
      <c r="B6" s="8" t="inlineStr">
        <is>
          <t>Finnhub — ALAB financial market data</t>
        </is>
      </c>
      <c r="C6" s="29" t="inlineStr">
        <is>
          <t>https://finnhub.io/?q=%22ALAB%22</t>
        </is>
      </c>
      <c r="D6" s="28" t="inlineStr">
        <is>
          <t>2026-10-19</t>
        </is>
      </c>
      <c r="E6" s="8" t="inlineStr">
        <is>
          <t>Beta cross-check (3.73)</t>
        </is>
      </c>
    </row>
    <row r="7" ht="28" customHeight="1">
      <c r="A7" s="28" t="n">
        <v>4</v>
      </c>
      <c r="B7" s="8" t="inlineStr">
        <is>
          <t>lf0 — Astera Labs stock analysis</t>
        </is>
      </c>
      <c r="C7" s="29" t="inlineStr">
        <is>
          <t>https://lf0.com/research/astera-labs-stock-analysis-alab/</t>
        </is>
      </c>
      <c r="D7" s="28" t="inlineStr">
        <is>
          <t>2026-10-19</t>
        </is>
      </c>
      <c r="E7" s="8" t="inlineStr">
        <is>
          <t>Beta 5Y-monthly (3.78) cross-check; TTM margin context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 (shared framework constant)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2026-10-19T15:34:06+00:00Z</dcterms:created>
  <dcterms:modified xmlns:dcterms="http://purl.org/dc/terms/" xmlns:xsi="http://www.w3.org/2001/XMLSchema-instance" xsi:type="dcterms:W3CDTF">2026-10-19T15:34:06+00:00Z</dcterms:modified>
</cp:coreProperties>
</file>