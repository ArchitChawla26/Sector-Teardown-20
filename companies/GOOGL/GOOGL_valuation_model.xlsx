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GOOGL" TargetMode="External" Id="rId1"/><Relationship Type="http://schemas.openxmlformats.org/officeDocument/2006/relationships/hyperlink" Target="https://finance.yahoo.com/quote/AAPL" TargetMode="External" Id="rId2"/><Relationship Type="http://schemas.openxmlformats.org/officeDocument/2006/relationships/hyperlink" Target="https://finance.yahoo.com/quote/AMZN" TargetMode="External" Id="rId3"/><Relationship Type="http://schemas.openxmlformats.org/officeDocument/2006/relationships/hyperlink" Target="https://finance.yahoo.com/quote/META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stockanalysis.com/stocks/googl/statistics/" TargetMode="External" Id="rId6"/><Relationship Type="http://schemas.openxmlformats.org/officeDocument/2006/relationships/hyperlink" Target="https://www.fool.com/quote/nasdaq/google-a-shares/googl" TargetMode="External" Id="rId7"/><Relationship Type="http://schemas.openxmlformats.org/officeDocument/2006/relationships/hyperlink" Target="https://www.bastionmemos.com/companies/GOOGL/q2-fy26.html" TargetMode="External" Id="rId8"/><Relationship Type="http://schemas.openxmlformats.org/officeDocument/2006/relationships/hyperlink" Target="https://fourweekmba.com/google-business-model/" TargetMode="External" Id="rId9"/><Relationship Type="http://schemas.openxmlformats.org/officeDocument/2006/relationships/hyperlink" Target="https://ts2.tech/en/goog-or-googl-alphabets-voting-shares-cost-1-1-more-after-the-search-rally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 —  Alphabet Inc. (NASDAQ: GOOGL)</t>
        </is>
      </c>
    </row>
    <row r="2" ht="18" customHeight="1">
      <c r="A2" s="2" t="inlineStr">
        <is>
          <t>Consumer Tech sector teardown  |  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340.59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Search and Cloud are compounding beautifully — Cloud +82% YoY in Q2 2026, now 21% of revenue — but $340.59 prices ~7.4% perpetual growth, and the 2026 capex guide ($175–185B) will consume most of operating cash flow. My DCF sits 52% below the quote.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FY2022–FY2025 (fiscal years ended December 31) financials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GOOGL, AAPL, AMZN, META multiples on Oct 16, 2026 prices and 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5.09% on 2026-10-19 (Reuters); rounded to 5.1% (shared framework)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(GOOGL)</t>
        </is>
      </c>
      <c r="B6" s="15" t="n">
        <v>1.21</v>
      </c>
      <c r="C6" s="12" t="inlineStr">
        <is>
          <t>[DATA]</t>
        </is>
      </c>
      <c r="D6" s="13" t="inlineStr">
        <is>
          <t>Yahoo Finance 2026-10-19 (1.211); cross-checked 1.21 (MarketBeat)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Through-cycle new-issue estimate in a 5.1% Treasury world (shared framework: uniform 5.5%)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US statutory 21% (shared framework)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4165416</v>
      </c>
      <c r="C11" s="12" t="inlineStr">
        <is>
          <t>[DATA]</t>
        </is>
      </c>
      <c r="D11" s="13" t="inlineStr">
        <is>
          <t>Oct 16, 2026 close $340.59 x 12,230M total shares (all classes)</t>
        </is>
      </c>
    </row>
    <row r="12">
      <c r="A12" s="3" t="inlineStr">
        <is>
          <t>Book value of debt ($M)</t>
        </is>
      </c>
      <c r="B12" s="18" t="n">
        <v>112756</v>
      </c>
      <c r="C12" s="12" t="inlineStr">
        <is>
          <t>[DATA]</t>
        </is>
      </c>
      <c r="D12" s="13" t="inlineStr">
        <is>
          <t>Q2 2026 balance sheet, Jun 2026 (Yahoo Finance); debt up ~2x YoY on AI-capex issuance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 (shared framework)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 (shared framework)</t>
        </is>
      </c>
    </row>
    <row r="19">
      <c r="A19" s="10" t="inlineStr">
        <is>
          <t>Forecast drivers (2026–2030)</t>
        </is>
      </c>
    </row>
    <row r="20">
      <c r="B20" s="19" t="n">
        <v>2026</v>
      </c>
      <c r="C20" s="19" t="n">
        <v>2027</v>
      </c>
      <c r="D20" s="19" t="n">
        <v>2028</v>
      </c>
      <c r="E20" s="19" t="n">
        <v>2029</v>
      </c>
      <c r="F20" s="19" t="n">
        <v>2030</v>
      </c>
    </row>
    <row r="21">
      <c r="A21" s="3" t="inlineStr">
        <is>
          <t>Revenue growth — base</t>
        </is>
      </c>
      <c r="B21" s="11" t="n">
        <v>0.16</v>
      </c>
      <c r="C21" s="11" t="n">
        <v>0.13</v>
      </c>
      <c r="D21" s="11" t="n">
        <v>0.11</v>
      </c>
      <c r="E21" s="11" t="n">
        <v>0.1</v>
      </c>
      <c r="F21" s="11" t="n">
        <v>0.08</v>
      </c>
      <c r="G21" s="14" t="inlineStr">
        <is>
          <t>[JUDGMENT]</t>
        </is>
      </c>
      <c r="H21" s="13" t="inlineStr">
        <is>
          <t>FY2026E +16% (Q2 2026 rev +24% YoY); Cloud +82% YoY in Q2 2026, now 21% of revenue; Search +17%</t>
        </is>
      </c>
    </row>
    <row r="22">
      <c r="A22" s="3" t="inlineStr">
        <is>
          <t>Revenue growth — bull</t>
        </is>
      </c>
      <c r="B22" s="11" t="n">
        <v>0.21</v>
      </c>
      <c r="C22" s="11" t="n">
        <v>0.17</v>
      </c>
      <c r="D22" s="11" t="n">
        <v>0.14</v>
      </c>
      <c r="E22" s="11" t="n">
        <v>0.12</v>
      </c>
      <c r="F22" s="11" t="n">
        <v>0.1</v>
      </c>
      <c r="G22" s="14" t="inlineStr">
        <is>
          <t>[JUDGMENT]</t>
        </is>
      </c>
      <c r="H22" s="13" t="inlineStr">
        <is>
          <t>Cloud sustains 40%+ growth; Gemini monetization; YouTube subscriptions compound</t>
        </is>
      </c>
    </row>
    <row r="23">
      <c r="A23" s="3" t="inlineStr">
        <is>
          <t>Revenue growth — bear</t>
        </is>
      </c>
      <c r="B23" s="11" t="n">
        <v>0.09</v>
      </c>
      <c r="C23" s="11" t="n">
        <v>0.06</v>
      </c>
      <c r="D23" s="11" t="n">
        <v>0.05</v>
      </c>
      <c r="E23" s="11" t="n">
        <v>0.04</v>
      </c>
      <c r="F23" s="11" t="n">
        <v>0.03</v>
      </c>
      <c r="G23" s="14" t="inlineStr">
        <is>
          <t>[JUDGMENT]</t>
        </is>
      </c>
      <c r="H23" s="13" t="inlineStr">
        <is>
          <t>AI search disruption (zero-click answers); Cloud price competition; DOJ remedy overhang</t>
        </is>
      </c>
    </row>
    <row r="24">
      <c r="A24" s="3" t="inlineStr">
        <is>
          <t>EBITDA margin — base</t>
        </is>
      </c>
      <c r="B24" s="11" t="n">
        <v>0.45</v>
      </c>
      <c r="C24" s="11" t="n">
        <v>0.455</v>
      </c>
      <c r="D24" s="11" t="n">
        <v>0.46</v>
      </c>
      <c r="E24" s="11" t="n">
        <v>0.465</v>
      </c>
      <c r="F24" s="11" t="n">
        <v>0.47</v>
      </c>
      <c r="G24" s="14" t="inlineStr">
        <is>
          <t>[JUDGMENT]</t>
        </is>
      </c>
      <c r="H24" s="13" t="inlineStr">
        <is>
          <t>FY2025: 44.9%; Cloud op margin expanding (13.9 / 58.7 = 23.7% in 2025); blended margin +50 bps/yr</t>
        </is>
      </c>
    </row>
    <row r="25">
      <c r="A25" s="3" t="inlineStr">
        <is>
          <t>EBITDA margin — bull</t>
        </is>
      </c>
      <c r="B25" s="11" t="n">
        <v>0.47</v>
      </c>
      <c r="C25" s="11" t="n">
        <v>0.475</v>
      </c>
      <c r="D25" s="11" t="n">
        <v>0.48</v>
      </c>
      <c r="E25" s="11" t="n">
        <v>0.485</v>
      </c>
      <c r="F25" s="11" t="n">
        <v>0.49</v>
      </c>
      <c r="G25" s="14" t="inlineStr">
        <is>
          <t>[JUDGMENT]</t>
        </is>
      </c>
      <c r="H25" s="13" t="inlineStr">
        <is>
          <t>Cloud reaches 30%+ op margin; Other Bets losses contained</t>
        </is>
      </c>
    </row>
    <row r="26">
      <c r="A26" s="3" t="inlineStr">
        <is>
          <t>EBITDA margin — bear</t>
        </is>
      </c>
      <c r="B26" s="11" t="n">
        <v>0.42</v>
      </c>
      <c r="C26" s="11" t="n">
        <v>0.415</v>
      </c>
      <c r="D26" s="11" t="n">
        <v>0.41</v>
      </c>
      <c r="E26" s="11" t="n">
        <v>0.405</v>
      </c>
      <c r="F26" s="11" t="n">
        <v>0.4</v>
      </c>
      <c r="G26" s="14" t="inlineStr">
        <is>
          <t>[JUDGMENT]</t>
        </is>
      </c>
      <c r="H26" s="13" t="inlineStr">
        <is>
          <t>Traffic acquisition cost inflation; Cloud margin investment; Other Bets drag</t>
        </is>
      </c>
    </row>
    <row r="28">
      <c r="A28" s="3" t="inlineStr">
        <is>
          <t>D&amp;A (% of revenue)</t>
        </is>
      </c>
      <c r="B28" s="11" t="n">
        <v>0.06</v>
      </c>
      <c r="G28" s="14" t="inlineStr">
        <is>
          <t>[JUDGMENT]</t>
        </is>
      </c>
      <c r="H28" s="13" t="inlineStr">
        <is>
          <t>FY2025: 5.2% of revenue (21,136 / 402,836); AI infra depreciation keeps rising</t>
        </is>
      </c>
    </row>
    <row r="29">
      <c r="A29" s="3" t="inlineStr">
        <is>
          <t>Stock-based comp. (% of revenue)</t>
        </is>
      </c>
      <c r="B29" s="11" t="n">
        <v>0.062</v>
      </c>
      <c r="C29" s="11" t="n">
        <v>0.06</v>
      </c>
      <c r="D29" s="11" t="n">
        <v>0.058</v>
      </c>
      <c r="E29" s="11" t="n">
        <v>0.056</v>
      </c>
      <c r="F29" s="11" t="n">
        <v>0.054</v>
      </c>
      <c r="G29" s="14" t="inlineStr">
        <is>
          <t>[JUDGMENT]</t>
        </is>
      </c>
      <c r="H29" s="13" t="inlineStr">
        <is>
          <t>FY2025: 6.2% of revenue (24,953 / 402,836); easing with scale</t>
        </is>
      </c>
    </row>
    <row r="30">
      <c r="A30" s="3" t="inlineStr">
        <is>
          <t>Capex (% of revenue)</t>
        </is>
      </c>
      <c r="B30" s="11" t="n">
        <v>0.2</v>
      </c>
      <c r="G30" s="14" t="inlineStr">
        <is>
          <t>[JUDGMENT]</t>
        </is>
      </c>
      <c r="H30" s="13" t="inlineStr">
        <is>
          <t>FY2025: 22.7% (91,447 / 402,836); 2026 guided $175–185B — base 20% assumes the build moderates from the 2026 peak</t>
        </is>
      </c>
    </row>
    <row r="31">
      <c r="A31" s="3" t="inlineStr">
        <is>
          <t>Change in NWC (% of revenue growth)</t>
        </is>
      </c>
      <c r="B31" s="11" t="n">
        <v>0.04</v>
      </c>
      <c r="G31" s="14" t="inlineStr">
        <is>
          <t>[JUDGMENT]</t>
        </is>
      </c>
      <c r="H31" s="13" t="inlineStr">
        <is>
          <t>Uniform working-capital intensity (shared framework)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>
        <is>
          <t>Shared framework</t>
        </is>
      </c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>
        <is>
          <t>Shared framework</t>
        </is>
      </c>
    </row>
    <row r="35">
      <c r="A35" s="3" t="inlineStr">
        <is>
          <t>Net debt ($M)</t>
        </is>
      </c>
      <c r="B35" s="11" t="n">
        <v>-129718</v>
      </c>
      <c r="G35" s="12" t="inlineStr">
        <is>
          <t>[DATA]</t>
        </is>
      </c>
      <c r="H35" s="13" t="inlineStr">
        <is>
          <t>Q2 2026: total debt 112,756 less cash 55,911 and ST investments 186,563 = NET CASH $129,718M</t>
        </is>
      </c>
    </row>
    <row r="36">
      <c r="A36" s="3" t="inlineStr">
        <is>
          <t>Shares outstanding (M)</t>
        </is>
      </c>
      <c r="B36" s="18" t="n">
        <v>12230</v>
      </c>
      <c r="G36" s="12" t="inlineStr">
        <is>
          <t>[DATA]</t>
        </is>
      </c>
      <c r="H36" s="13" t="inlineStr">
        <is>
          <t>12.23B total (Class A + B + C): stockanalysis.com, MarketBeat, Fool, Oct 2026; Yahoo's 5,867M is Class A only — 12.23B reconciles to market cap / price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Historical financials — GOOGL</t>
        </is>
      </c>
    </row>
    <row r="2" ht="18" customHeight="1">
      <c r="A2" s="2" t="inlineStr">
        <is>
          <t>$ millions. FY2022–FY2025 (fiscal years ended December 31). Source: Yahoo Finance annual statements (filing-derived), as of 2026-10-19.</t>
        </is>
      </c>
    </row>
    <row r="3">
      <c r="A3" s="20" t="inlineStr"/>
      <c r="B3" s="20" t="n">
        <v>2022</v>
      </c>
      <c r="C3" s="20" t="n">
        <v>2023</v>
      </c>
      <c r="D3" s="20" t="n">
        <v>2024</v>
      </c>
      <c r="E3" s="20" t="n">
        <v>2025</v>
      </c>
    </row>
    <row r="4">
      <c r="A4" s="3" t="inlineStr">
        <is>
          <t>Total revenue</t>
        </is>
      </c>
      <c r="B4" s="21" t="n">
        <v>282836</v>
      </c>
      <c r="C4" s="21" t="n">
        <v>307394</v>
      </c>
      <c r="D4" s="21" t="n">
        <v>350018</v>
      </c>
      <c r="E4" s="21" t="n">
        <v>402836</v>
      </c>
    </row>
    <row r="5">
      <c r="A5" s="3" t="inlineStr">
        <is>
          <t>Gross profit</t>
        </is>
      </c>
      <c r="B5" s="21" t="n">
        <v>156633</v>
      </c>
      <c r="C5" s="21" t="n">
        <v>174062</v>
      </c>
      <c r="D5" s="21" t="n">
        <v>203712</v>
      </c>
      <c r="E5" s="21" t="n">
        <v>240301</v>
      </c>
    </row>
    <row r="6">
      <c r="A6" s="3" t="inlineStr">
        <is>
          <t>EBITDA</t>
        </is>
      </c>
      <c r="B6" s="21" t="n">
        <v>85160</v>
      </c>
      <c r="C6" s="21" t="n">
        <v>97971</v>
      </c>
      <c r="D6" s="21" t="n">
        <v>135394</v>
      </c>
      <c r="E6" s="21" t="n">
        <v>180698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71685</v>
      </c>
      <c r="C8" s="21" t="n">
        <v>86025</v>
      </c>
      <c r="D8" s="21" t="n">
        <v>120083</v>
      </c>
      <c r="E8" s="21" t="n">
        <v>159562</v>
      </c>
    </row>
    <row r="9">
      <c r="A9" s="3" t="inlineStr">
        <is>
          <t>Net income</t>
        </is>
      </c>
      <c r="B9" s="21" t="n">
        <v>59972</v>
      </c>
      <c r="C9" s="21" t="n">
        <v>73795</v>
      </c>
      <c r="D9" s="21" t="n">
        <v>100118</v>
      </c>
      <c r="E9" s="21" t="n">
        <v>132170</v>
      </c>
    </row>
    <row r="10">
      <c r="A10" s="3" t="inlineStr">
        <is>
          <t>Diluted average shares (M)</t>
        </is>
      </c>
      <c r="B10" s="21" t="n">
        <v>13159</v>
      </c>
      <c r="C10" s="21" t="n">
        <v>12722</v>
      </c>
      <c r="D10" s="21" t="n">
        <v>12447</v>
      </c>
      <c r="E10" s="21" t="n">
        <v>12230</v>
      </c>
    </row>
    <row r="11">
      <c r="A11" s="3" t="inlineStr">
        <is>
          <t>Operating cash flow</t>
        </is>
      </c>
      <c r="B11" s="21" t="n">
        <v>91495</v>
      </c>
      <c r="C11" s="21" t="n">
        <v>101746</v>
      </c>
      <c r="D11" s="21" t="n">
        <v>125299</v>
      </c>
      <c r="E11" s="21" t="n">
        <v>164713</v>
      </c>
    </row>
    <row r="12">
      <c r="A12" s="3" t="inlineStr">
        <is>
          <t>Capital expenditures</t>
        </is>
      </c>
      <c r="B12" s="21" t="n">
        <v>-31485</v>
      </c>
      <c r="C12" s="21" t="n">
        <v>-32251</v>
      </c>
      <c r="D12" s="21" t="n">
        <v>-52535</v>
      </c>
      <c r="E12" s="21" t="n">
        <v>-91447</v>
      </c>
    </row>
    <row r="13">
      <c r="A13" s="3" t="inlineStr">
        <is>
          <t>Free cash flow</t>
        </is>
      </c>
      <c r="B13" s="21" t="n">
        <v>60010</v>
      </c>
      <c r="C13" s="21" t="n">
        <v>69495</v>
      </c>
      <c r="D13" s="21" t="n">
        <v>72764</v>
      </c>
      <c r="E13" s="21" t="n">
        <v>73266</v>
      </c>
    </row>
    <row r="14">
      <c r="A14" s="3" t="inlineStr">
        <is>
          <t>Cash &amp; ST investments</t>
        </is>
      </c>
      <c r="B14" s="21" t="n">
        <v>113762</v>
      </c>
      <c r="C14" s="21" t="n">
        <v>110916</v>
      </c>
      <c r="D14" s="21" t="n">
        <v>95657</v>
      </c>
      <c r="E14" s="21" t="n">
        <v>126843</v>
      </c>
    </row>
    <row r="15">
      <c r="A15" s="3" t="inlineStr">
        <is>
          <t>Total debt</t>
        </is>
      </c>
      <c r="B15" s="21" t="n">
        <v>29679</v>
      </c>
      <c r="C15" s="21" t="n">
        <v>27121</v>
      </c>
      <c r="D15" s="21" t="n">
        <v>22574</v>
      </c>
      <c r="E15" s="21" t="n">
        <v>59291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Alphabet Inc. (GOOGL)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Alphabet Inc. (GOOGL)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Alphabet Inc. (GOOGL)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n">
        <v>2026</v>
      </c>
      <c r="C3" s="20" t="n">
        <v>2027</v>
      </c>
      <c r="D3" s="20" t="n">
        <v>2028</v>
      </c>
      <c r="E3" s="20" t="n">
        <v>2029</v>
      </c>
      <c r="F3" s="20" t="n">
        <v>2030</v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B9*B10</f>
        <v/>
      </c>
      <c r="C11" s="21">
        <f>C9*C10</f>
        <v/>
      </c>
      <c r="D11" s="21">
        <f>D9*D10</f>
        <v/>
      </c>
      <c r="E11" s="21">
        <f>E9*E10</f>
        <v/>
      </c>
      <c r="F11" s="21">
        <f>F9*F10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 (add: net cash)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GOOGL vs Consumer Tech peers</t>
        </is>
      </c>
    </row>
    <row r="2" ht="18" customHeight="1">
      <c r="A2" s="2" t="inlineStr">
        <is>
          <t>Market data as of Oct 16, 2026 closes (Yahoo Finance). $ millions, except price and per-share.</t>
        </is>
      </c>
    </row>
    <row r="3">
      <c r="A3" s="20" t="inlineStr"/>
      <c r="B3" s="20" t="inlineStr">
        <is>
          <t>GOOGL</t>
        </is>
      </c>
      <c r="C3" s="20" t="inlineStr">
        <is>
          <t>AAPL</t>
        </is>
      </c>
      <c r="D3" s="20" t="inlineStr">
        <is>
          <t>AMZN</t>
        </is>
      </c>
      <c r="E3" s="20" t="inlineStr">
        <is>
          <t>META</t>
        </is>
      </c>
    </row>
    <row r="4">
      <c r="A4" s="3" t="inlineStr">
        <is>
          <t>Price ($)</t>
        </is>
      </c>
      <c r="B4" s="23" t="n">
        <v>340.59</v>
      </c>
      <c r="C4" s="23" t="n">
        <v>343.46</v>
      </c>
      <c r="D4" s="23" t="n">
        <v>250</v>
      </c>
      <c r="E4" s="23" t="n">
        <v>709.33</v>
      </c>
    </row>
    <row r="5">
      <c r="A5" s="3" t="inlineStr">
        <is>
          <t>Market cap ($M)</t>
        </is>
      </c>
      <c r="B5" s="21" t="n">
        <v>4165416</v>
      </c>
      <c r="C5" s="21" t="n">
        <v>5012536</v>
      </c>
      <c r="D5" s="21" t="n">
        <v>2696578</v>
      </c>
      <c r="E5" s="21" t="n">
        <v>1808792</v>
      </c>
    </row>
    <row r="6">
      <c r="A6" s="3" t="inlineStr">
        <is>
          <t>Enterprise value ($M)</t>
        </is>
      </c>
      <c r="B6" s="21" t="n">
        <v>4035698</v>
      </c>
      <c r="C6" s="21" t="n">
        <v>5034481</v>
      </c>
      <c r="D6" s="21" t="n">
        <v>2763377</v>
      </c>
      <c r="E6" s="21" t="n">
        <v>1830850</v>
      </c>
    </row>
    <row r="7">
      <c r="A7" s="3" t="inlineStr">
        <is>
          <t>Revenue, TTM ($M)</t>
        </is>
      </c>
      <c r="B7" s="21" t="n">
        <v>445866</v>
      </c>
      <c r="C7" s="21" t="n">
        <v>466823</v>
      </c>
      <c r="D7" s="21" t="n">
        <v>775680</v>
      </c>
      <c r="E7" s="21" t="n">
        <v>228247</v>
      </c>
    </row>
    <row r="8">
      <c r="A8" s="3" t="inlineStr">
        <is>
          <t>EBITDA, TTM ($M)</t>
        </is>
      </c>
      <c r="B8" s="21" t="n">
        <v>173164</v>
      </c>
      <c r="C8" s="21" t="n">
        <v>167959</v>
      </c>
      <c r="D8" s="21" t="n">
        <v>168912</v>
      </c>
      <c r="E8" s="21" t="n">
        <v>109655</v>
      </c>
    </row>
    <row r="9">
      <c r="A9" s="3" t="inlineStr">
        <is>
          <t>Trailing EPS ($)</t>
        </is>
      </c>
      <c r="B9" s="23" t="n">
        <v>19.93</v>
      </c>
      <c r="C9" s="23" t="n">
        <v>8.720000000000001</v>
      </c>
      <c r="D9" s="23" t="n">
        <v>12.43</v>
      </c>
      <c r="E9" s="23" t="n">
        <v>26.54</v>
      </c>
    </row>
    <row r="10">
      <c r="A10" s="3" t="inlineStr">
        <is>
          <t>Forward EPS ($)</t>
        </is>
      </c>
      <c r="B10" s="23" t="n">
        <v>15.29162</v>
      </c>
      <c r="C10" s="23" t="n">
        <v>9.57785</v>
      </c>
      <c r="D10" s="23" t="n">
        <v>10.44315</v>
      </c>
      <c r="E10" s="23" t="n">
        <v>34.62667</v>
      </c>
    </row>
    <row r="11">
      <c r="A11" s="3" t="inlineStr">
        <is>
          <t>EV / Revenue</t>
        </is>
      </c>
      <c r="B11" s="24">
        <f>B6/B7</f>
        <v/>
      </c>
      <c r="C11" s="24">
        <f>C6/C7</f>
        <v/>
      </c>
      <c r="D11" s="24">
        <f>D6/D7</f>
        <v/>
      </c>
      <c r="E11" s="24">
        <f>E6/E7</f>
        <v/>
      </c>
    </row>
    <row r="12">
      <c r="A12" s="3" t="inlineStr">
        <is>
          <t>EV / EBITDA</t>
        </is>
      </c>
      <c r="B12" s="24">
        <f>B6/B8</f>
        <v/>
      </c>
      <c r="C12" s="24">
        <f>C6/C8</f>
        <v/>
      </c>
      <c r="D12" s="24">
        <f>D6/D8</f>
        <v/>
      </c>
      <c r="E12" s="24">
        <f>E6/E8</f>
        <v/>
      </c>
    </row>
    <row r="13">
      <c r="A13" s="3" t="inlineStr">
        <is>
          <t>Trailing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4">
      <c r="A14" s="3" t="inlineStr">
        <is>
          <t>Forward P/E</t>
        </is>
      </c>
      <c r="B14" s="24">
        <f>B4/B10</f>
        <v/>
      </c>
      <c r="C14" s="24">
        <f>C4/C10</f>
        <v/>
      </c>
      <c r="D14" s="24">
        <f>D4/D10</f>
        <v/>
      </c>
      <c r="E14" s="24">
        <f>E4/E10</f>
        <v/>
      </c>
    </row>
    <row r="16">
      <c r="A16" s="10" t="inlineStr">
        <is>
          <t>GOOGL implied valuation from peer medians</t>
        </is>
      </c>
    </row>
    <row r="17">
      <c r="A17" s="3" t="inlineStr">
        <is>
          <t>Median peer EV / Revenue</t>
        </is>
      </c>
      <c r="B17" s="24">
        <f>MEDIAN(C11:E11)</f>
        <v/>
      </c>
    </row>
    <row r="18">
      <c r="A18" s="3" t="inlineStr">
        <is>
          <t>Implied EV ($M)</t>
        </is>
      </c>
      <c r="B18" s="21">
        <f>B17*B7</f>
        <v/>
      </c>
    </row>
    <row r="19">
      <c r="A19" s="3" t="inlineStr">
        <is>
          <t>Less: Net debt ($M)</t>
        </is>
      </c>
      <c r="B19" s="21">
        <f>Assumptions!$B$35</f>
        <v/>
      </c>
    </row>
    <row r="20">
      <c r="A20" s="7" t="inlineStr">
        <is>
          <t>Implied per share — EV/Revenue ($)</t>
        </is>
      </c>
      <c r="B20" s="23">
        <f>(B18-B19)/Assumptions!$B$36</f>
        <v/>
      </c>
    </row>
    <row r="22">
      <c r="A22" s="3" t="inlineStr">
        <is>
          <t>Median peer EV / EBITDA</t>
        </is>
      </c>
      <c r="B22" s="24">
        <f>MEDIAN(C12:E12)</f>
        <v/>
      </c>
    </row>
    <row r="23">
      <c r="A23" s="3" t="inlineStr">
        <is>
          <t>Implied EV ($M)</t>
        </is>
      </c>
      <c r="B23" s="21">
        <f>B22*B8</f>
        <v/>
      </c>
    </row>
    <row r="24">
      <c r="A24" s="7" t="inlineStr">
        <is>
          <t>Implied per share — EV/EBITDA ($)</t>
        </is>
      </c>
      <c r="B24" s="23">
        <f>(B23-Assumptions!$B$35)/Assumptions!$B$36</f>
        <v/>
      </c>
    </row>
    <row r="26">
      <c r="A26" s="3" t="inlineStr">
        <is>
          <t>Median peer forward P/E</t>
        </is>
      </c>
      <c r="B26" s="24">
        <f>MEDIAN(C14:E14)</f>
        <v/>
      </c>
    </row>
    <row r="27">
      <c r="A27" s="3" t="inlineStr">
        <is>
          <t>GOOGL forward EPS ($)</t>
        </is>
      </c>
      <c r="B27" s="23">
        <f>B10</f>
        <v/>
      </c>
    </row>
    <row r="28">
      <c r="A28" s="10" t="inlineStr">
        <is>
          <t>Implied per share — forward P/E ($)</t>
        </is>
      </c>
      <c r="B28" s="23">
        <f>B26*B27</f>
        <v/>
      </c>
      <c r="C28" s="25" t="inlineStr">
        <is>
          <t>Forward P/E is the operative lens: trailing EPS is inflated by a Q2 2026 $98B other-income gain.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net income = cash-flow starting net income for FY2022–2025 (max diff $0.0M)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FY2022–2025 total revenue 282,836 / 307,394 / 350,018 / 402,836 ($M), fiscal years ended December (Yahoo Finance annual income statement)</t>
        </is>
      </c>
      <c r="C5" s="27" t="inlineStr">
        <is>
          <t>PASS</t>
        </is>
      </c>
    </row>
    <row r="6" ht="30" customHeight="1">
      <c r="A6" s="26" t="inlineStr">
        <is>
          <t>Share count</t>
        </is>
      </c>
      <c r="B6" s="8" t="inlineStr">
        <is>
          <t>12,230M total (Class A + B + C): stockanalysis.com, MarketBeat, Fool, Oct 2026; Yahoo's 5,867M is Class A only (5.868B per Jun-2026 10-Q); 12.23B reconciles to market cap ÷ price</t>
        </is>
      </c>
      <c r="C6" s="27" t="inlineStr">
        <is>
          <t>PASS</t>
        </is>
      </c>
    </row>
    <row r="7" ht="30" customHeight="1">
      <c r="A7" s="26" t="inlineStr">
        <is>
          <t>Net debt bridge</t>
        </is>
      </c>
      <c r="B7" s="8" t="inlineStr">
        <is>
          <t>Q2 2026 balance sheet (Jun 2026): total debt $112,756M less cash $55,911M and ST investments $186,563M = NET CASH $129,718M</t>
        </is>
      </c>
      <c r="C7" s="27" t="inlineStr">
        <is>
          <t>PASS</t>
        </is>
      </c>
    </row>
    <row r="8" ht="30" customHeight="1">
      <c r="A8" s="26" t="inlineStr">
        <is>
          <t>Beta</t>
        </is>
      </c>
      <c r="B8" s="8" t="inlineStr">
        <is>
          <t>1.21 (Yahoo Finance 1.211, 2026-10-19); cross-checked 1.21 (MarketBeat)</t>
        </is>
      </c>
      <c r="C8" s="27" t="inlineStr">
        <is>
          <t>PASS</t>
        </is>
      </c>
    </row>
    <row r="9" ht="30" customHeight="1">
      <c r="A9" s="26" t="inlineStr">
        <is>
          <t>Risk-free rate</t>
        </is>
      </c>
      <c r="B9" s="8" t="inlineStr">
        <is>
          <t>US 10Y 5.085% on 2026-10-19 (Reuters); used 5.1% (shared framework)</t>
        </is>
      </c>
      <c r="C9" s="27" t="inlineStr">
        <is>
          <t>PASS</t>
        </is>
      </c>
    </row>
    <row r="10" ht="30" customHeight="1">
      <c r="A10" s="26" t="inlineStr">
        <is>
          <t>Trailing EPS distortion flagged</t>
        </is>
      </c>
      <c r="B10" s="8" t="inlineStr">
        <is>
          <t>Q2 2026 net income $112.2B (+298% YoY) included ~$98B of other income (Bastion Memos); trailing EPS $19.93 is inflated — forward P/E is the operative comps lens</t>
        </is>
      </c>
      <c r="C10" s="27" t="inlineStr">
        <is>
          <t>PASS</t>
        </is>
      </c>
    </row>
    <row r="11" ht="30" customHeight="1">
      <c r="A11" s="26" t="inlineStr">
        <is>
          <t>Comps market data as-of</t>
        </is>
      </c>
      <c r="B11" s="8" t="inlineStr">
        <is>
          <t>AAPL / AMZN / META / GOOGL Oct 16, 2026 closes from Yahoo Finance 1-mo history; EVs = Oct-16 market cap + latest-quarter net debt</t>
        </is>
      </c>
      <c r="C11" s="27" t="inlineStr">
        <is>
          <t>PASS</t>
        </is>
      </c>
    </row>
    <row r="12" ht="30" customHeight="1">
      <c r="A12" s="26" t="inlineStr">
        <is>
          <t>FCF bridge reconciles</t>
        </is>
      </c>
      <c r="B12" s="8" t="inlineStr">
        <is>
          <t>Formula check: EV = sum of PV of FCF + PV of terminal value</t>
        </is>
      </c>
      <c r="C12" s="27">
        <f>IF(ABS(DCF_Base!B22-(DCF_Base!B19+DCF_Base!B21))&lt;0.5,"PASS","FAIL")</f>
        <v/>
      </c>
    </row>
    <row r="13" ht="30" customHeight="1">
      <c r="A13" s="26" t="inlineStr">
        <is>
          <t>Per-share arithmetic</t>
        </is>
      </c>
      <c r="B13" s="8" t="inlineStr">
        <is>
          <t>Formula check: per-share = equity value / shares</t>
        </is>
      </c>
      <c r="C13" s="27">
        <f>IF(ABS(DCF_Base!B26-DCF_Base!B24/DCF_Base!B25)&lt;0.01,"PASS","FAIL")</f>
        <v/>
      </c>
    </row>
    <row r="14" ht="30" customHeight="1">
      <c r="A14" s="26" t="inlineStr">
        <is>
          <t>DCF vs market gap is explainable</t>
        </is>
      </c>
      <c r="B14" s="8" t="inlineStr">
        <is>
          <t>Base per-share trails $340.59 because the quote implies ~7.4% perpetual FCF growth (my arithmetic); the $175–185B 2026 capex guide alone is ~40% of TTM revenue — the market is capitalizing AI-capex dollars as if they were already returns</t>
        </is>
      </c>
      <c r="C14" s="27" t="inlineStr">
        <is>
          <t>PASS</t>
        </is>
      </c>
    </row>
    <row r="15" ht="30" customHeight="1">
      <c r="A15" s="26" t="inlineStr">
        <is>
          <t>Q3 2026 earnings next week</t>
        </is>
      </c>
      <c r="B15" s="8" t="inlineStr">
        <is>
          <t>GOOGL reports Q3 2026 on Oct 28, 2026 — the next catalyst; this model is pre-earnings</t>
        </is>
      </c>
      <c r="C15" s="27" t="inlineStr">
        <is>
          <t>PASS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GOOGL quote &amp; financials</t>
        </is>
      </c>
      <c r="C4" s="29" t="inlineStr">
        <is>
          <t>https://finance.yahoo.com/quote/GOOGL</t>
        </is>
      </c>
      <c r="D4" s="28" t="inlineStr">
        <is>
          <t>2026-10-19</t>
        </is>
      </c>
      <c r="E4" s="8" t="inlineStr">
        <is>
          <t>Price, beta, shares, annual/quarterly statements, Oct-16 close</t>
        </is>
      </c>
    </row>
    <row r="5" ht="28" customHeight="1">
      <c r="A5" s="28" t="n">
        <v>2</v>
      </c>
      <c r="B5" s="8" t="inlineStr">
        <is>
          <t>Yahoo Finance — AAPL</t>
        </is>
      </c>
      <c r="C5" s="29" t="inlineStr">
        <is>
          <t>https://finance.yahoo.com/quote/AAPL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AMZN</t>
        </is>
      </c>
      <c r="C6" s="29" t="inlineStr">
        <is>
          <t>https://finance.yahoo.com/quote/AMZN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META</t>
        </is>
      </c>
      <c r="C7" s="29" t="inlineStr">
        <is>
          <t>https://finance.yahoo.com/quote/META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</t>
        </is>
      </c>
    </row>
    <row r="9" ht="28" customHeight="1">
      <c r="A9" s="28" t="n">
        <v>6</v>
      </c>
      <c r="B9" s="8" t="inlineStr">
        <is>
          <t>stockanalysis.com — GOOGL statistics</t>
        </is>
      </c>
      <c r="C9" s="29" t="inlineStr">
        <is>
          <t>https://stockanalysis.com/stocks/googl/statistics/</t>
        </is>
      </c>
      <c r="D9" s="28" t="inlineStr">
        <is>
          <t>2026-10-19</t>
        </is>
      </c>
      <c r="E9" s="8" t="inlineStr">
        <is>
          <t>Shares outstanding 12.23B, Oct-16 price $340.59 cross-check</t>
        </is>
      </c>
    </row>
    <row r="10" ht="28" customHeight="1">
      <c r="A10" s="28" t="n">
        <v>7</v>
      </c>
      <c r="B10" s="8" t="inlineStr">
        <is>
          <t>Motley Fool — GOOGL quote</t>
        </is>
      </c>
      <c r="C10" s="29" t="inlineStr">
        <is>
          <t>https://www.fool.com/quote/nasdaq/google-a-shares/googl</t>
        </is>
      </c>
      <c r="D10" s="28" t="inlineStr">
        <is>
          <t>2026-10-19</t>
        </is>
      </c>
      <c r="E10" s="8" t="inlineStr">
        <is>
          <t>Shares outstanding 12.23B cross-check; Q2 2026 total cash $242.5B / debt $112.8B</t>
        </is>
      </c>
    </row>
    <row r="11" ht="28" customHeight="1">
      <c r="A11" s="28" t="n">
        <v>8</v>
      </c>
      <c r="B11" s="8" t="inlineStr">
        <is>
          <t>Bastion Memos — GOOGL Q2 FY26 as filed</t>
        </is>
      </c>
      <c r="C11" s="29" t="inlineStr">
        <is>
          <t>https://www.bastionmemos.com/companies/GOOGL/q2-fy26.html</t>
        </is>
      </c>
      <c r="D11" s="28" t="inlineStr">
        <is>
          <t>2026-10-19</t>
        </is>
      </c>
      <c r="E11" s="8" t="inlineStr">
        <is>
          <t>Q2 2026: revenue $119.8B (+24%); Cloud $24.8B (+82%); net income $112.2B incl. ~$98B other income</t>
        </is>
      </c>
    </row>
    <row r="12" ht="28" customHeight="1">
      <c r="A12" s="28" t="n">
        <v>9</v>
      </c>
      <c r="B12" s="8" t="inlineStr">
        <is>
          <t>fourweekmba — Google business model (Oct 2026)</t>
        </is>
      </c>
      <c r="C12" s="29" t="inlineStr">
        <is>
          <t>https://fourweekmba.com/google-business-model/</t>
        </is>
      </c>
      <c r="D12" s="28" t="inlineStr">
        <is>
          <t>2026-10-19</t>
        </is>
      </c>
      <c r="E12" s="8" t="inlineStr">
        <is>
          <t>FY2025: Search $224.5B, YouTube ads $40.4B, Cloud $58.7B (+36%, op income $13.9B); 2026 capex guided $175–185B</t>
        </is>
      </c>
    </row>
    <row r="13" ht="28" customHeight="1">
      <c r="A13" s="28" t="n">
        <v>10</v>
      </c>
      <c r="B13" s="8" t="inlineStr">
        <is>
          <t>ts2.tech — GOOGL vs GOOG share classes</t>
        </is>
      </c>
      <c r="C13" s="29" t="inlineStr">
        <is>
          <t>https://ts2.tech/en/goog-or-googl-alphabets-voting-shares-cost-1-1-more-after-the-search-rally/</t>
        </is>
      </c>
      <c r="D13" s="28" t="inlineStr">
        <is>
          <t>2026-10-19</t>
        </is>
      </c>
      <c r="E13" s="8" t="inlineStr">
        <is>
          <t>Class A 5.868B / Class C 5.527B as of Jul 15, 2026 (Jun-2026 10-Q)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2026-10-19T15:35:46+00:00Z</dcterms:created>
  <dcterms:modified xmlns:dcterms="http://purl.org/dc/terms/" xmlns:xsi="http://www.w3.org/2001/XMLSchema-instance" xsi:type="dcterms:W3CDTF">2026-10-19T15:35:46+00:00Z</dcterms:modified>
</cp:coreProperties>
</file>