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Historicals" sheetId="3" state="visible" r:id="rId3"/>
    <sheet xmlns:r="http://schemas.openxmlformats.org/officeDocument/2006/relationships" name="DCF_Base" sheetId="4" state="visible" r:id="rId4"/>
    <sheet xmlns:r="http://schemas.openxmlformats.org/officeDocument/2006/relationships" name="DCF_Bull" sheetId="5" state="visible" r:id="rId5"/>
    <sheet xmlns:r="http://schemas.openxmlformats.org/officeDocument/2006/relationships" name="DCF_Bear" sheetId="6" state="visible" r:id="rId6"/>
    <sheet xmlns:r="http://schemas.openxmlformats.org/officeDocument/2006/relationships" name="Comps" sheetId="7" state="visible" r:id="rId7"/>
    <sheet xmlns:r="http://schemas.openxmlformats.org/officeDocument/2006/relationships" name="Checks" sheetId="8" state="visible" r:id="rId8"/>
    <sheet xmlns:r="http://schemas.openxmlformats.org/officeDocument/2006/relationships" name="Sourc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.0%"/>
    <numFmt numFmtId="166" formatCode="#,##0.0"/>
    <numFmt numFmtId="167" formatCode="0.000"/>
    <numFmt numFmtId="168" formatCode="#,##0.0&quot;x&quot;"/>
  </numFmts>
  <fonts count="13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1"/>
    </font>
    <font>
      <name val="Calibri"/>
      <b val="1"/>
      <sz val="12"/>
    </font>
    <font>
      <name val="Calibri"/>
      <b val="1"/>
      <color rgb="00C00000"/>
      <sz val="12"/>
    </font>
    <font>
      <name val="Calibri"/>
      <sz val="11"/>
    </font>
    <font>
      <name val="Calibri"/>
      <b val="1"/>
      <sz val="11"/>
    </font>
    <font>
      <name val="Calibri"/>
      <i val="1"/>
      <color rgb="00595959"/>
      <sz val="9"/>
    </font>
    <font>
      <name val="Calibri"/>
      <b val="1"/>
      <color rgb="001F4E78"/>
      <sz val="11"/>
    </font>
    <font>
      <name val="Calibri"/>
      <b val="1"/>
      <sz val="9"/>
    </font>
    <font>
      <name val="Calibri"/>
      <color rgb="00595959"/>
      <sz val="9"/>
    </font>
    <font>
      <name val="Calibri"/>
      <b val="1"/>
      <color rgb="00FFFFFF"/>
      <sz val="11"/>
    </font>
    <font>
      <name val="Calibri"/>
      <color rgb="000563C1"/>
      <sz val="10"/>
      <u val="single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5" fillId="0" borderId="0" pivotButton="0" quotePrefix="0" xfId="0"/>
    <xf numFmtId="164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0" borderId="0" pivotButton="0" quotePrefix="0" xfId="0"/>
    <xf numFmtId="165" fontId="0" fillId="2" borderId="0" pivotButton="0" quotePrefix="0" xfId="0"/>
    <xf numFmtId="0" fontId="9" fillId="3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 wrapText="1"/>
    </xf>
    <xf numFmtId="2" fontId="0" fillId="2" borderId="0" pivotButton="0" quotePrefix="0" xfId="0"/>
    <xf numFmtId="165" fontId="0" fillId="0" borderId="0" pivotButton="0" quotePrefix="0" xfId="0"/>
    <xf numFmtId="0" fontId="9" fillId="0" borderId="0" applyAlignment="1" pivotButton="0" quotePrefix="0" xfId="0">
      <alignment horizontal="center" vertical="center" wrapText="1"/>
    </xf>
    <xf numFmtId="166" fontId="0" fillId="2" borderId="0" pivotButton="0" quotePrefix="0" xfId="0"/>
    <xf numFmtId="0" fontId="11" fillId="5" borderId="0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166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8" fontId="0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hyperlink" Target="https://finance.yahoo.com/quote/AAPL" TargetMode="External" Id="rId1"/><Relationship Type="http://schemas.openxmlformats.org/officeDocument/2006/relationships/hyperlink" Target="https://finance.yahoo.com/quote/AMZN" TargetMode="External" Id="rId2"/><Relationship Type="http://schemas.openxmlformats.org/officeDocument/2006/relationships/hyperlink" Target="https://finance.yahoo.com/quote/META" TargetMode="External" Id="rId3"/><Relationship Type="http://schemas.openxmlformats.org/officeDocument/2006/relationships/hyperlink" Target="https://finance.yahoo.com/quote/GOOGL" TargetMode="External" Id="rId4"/><Relationship Type="http://schemas.openxmlformats.org/officeDocument/2006/relationships/hyperlink" Target="https://www.reuters.com/business/wall-st-futures-climb-ai-stocks-rebound-oil-yields-fall-2026-10-19/" TargetMode="External" Id="rId5"/><Relationship Type="http://schemas.openxmlformats.org/officeDocument/2006/relationships/hyperlink" Target="https://stockanalysis.com/stocks/aapl/" TargetMode="External" Id="rId6"/><Relationship Type="http://schemas.openxmlformats.org/officeDocument/2006/relationships/hyperlink" Target="https://fourweekmba.com/apple-business-model/" TargetMode="External" Id="rId7"/><Relationship Type="http://schemas.openxmlformats.org/officeDocument/2006/relationships/hyperlink" Target="https://sqmagazine.co.uk/apple-sales-statistics/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0" customWidth="1" min="2" max="2"/>
    <col width="10" customWidth="1" min="3" max="3"/>
    <col width="10" customWidth="1" min="4" max="4"/>
  </cols>
  <sheetData>
    <row r="1" ht="24" customHeight="1">
      <c r="A1" s="1" t="inlineStr">
        <is>
          <t>Equity Research Teardown  —  Apple Inc. (NASDAQ: AAPL)</t>
        </is>
      </c>
    </row>
    <row r="2" ht="18" customHeight="1">
      <c r="A2" s="2" t="inlineStr">
        <is>
          <t>Consumer Tech sector teardown  |  Independent equity research project by Archit Chawla  |  As of October 19, 2026</t>
        </is>
      </c>
    </row>
    <row r="4">
      <c r="A4" s="3" t="inlineStr">
        <is>
          <t>Current price (Oct 16, 2026 close)</t>
        </is>
      </c>
      <c r="B4" s="4" t="n">
        <v>343.46</v>
      </c>
    </row>
    <row r="5">
      <c r="A5" s="3" t="inlineStr">
        <is>
          <t>Recommendation</t>
        </is>
      </c>
      <c r="B5" s="5" t="inlineStr">
        <is>
          <t>PASS</t>
        </is>
      </c>
    </row>
    <row r="6">
      <c r="A6" s="3" t="inlineStr">
        <is>
          <t>One-line thesis</t>
        </is>
      </c>
      <c r="B6" s="6" t="inlineStr">
        <is>
          <t>The world’s best consumer franchise at a price that assumes AI-era growth on a flat-FCF base: free cash flow was $111B in FY2022 and $99B in FY2025 while the quote implies ~7.3% perpetual growth. My DCF sits 57% below $343.46.</t>
        </is>
      </c>
    </row>
    <row r="8">
      <c r="A8" s="7" t="inlineStr">
        <is>
          <t>Contents</t>
        </is>
      </c>
    </row>
    <row r="9">
      <c r="A9" s="7" t="inlineStr">
        <is>
          <t>Assumptions</t>
        </is>
      </c>
      <c r="B9" s="8" t="inlineStr">
        <is>
          <t>WACC build and all forecast drivers; [DATA] vs [JUDGMENT] tags</t>
        </is>
      </c>
    </row>
    <row r="10">
      <c r="A10" s="7" t="inlineStr">
        <is>
          <t>Historicals</t>
        </is>
      </c>
      <c r="B10" s="8" t="inlineStr">
        <is>
          <t>FY2022–FY2025 (fiscal years ended September 30) financials from Yahoo Finance annual statements</t>
        </is>
      </c>
    </row>
    <row r="11">
      <c r="A11" s="7" t="inlineStr">
        <is>
          <t>DCF_Base / DCF_Bull / DCF_Bear</t>
        </is>
      </c>
      <c r="B11" s="8" t="inlineStr">
        <is>
          <t>5-year DCF per case; all formulas live</t>
        </is>
      </c>
    </row>
    <row r="12">
      <c r="A12" s="7" t="inlineStr">
        <is>
          <t>Comps</t>
        </is>
      </c>
      <c r="B12" s="8" t="inlineStr">
        <is>
          <t>AAPL, AMZN, META, GOOGL multiples on Oct 16, 2026 prices and implied ranges</t>
        </is>
      </c>
    </row>
    <row r="13">
      <c r="A13" s="7" t="inlineStr">
        <is>
          <t>Checks</t>
        </is>
      </c>
      <c r="B13" s="8" t="inlineStr">
        <is>
          <t>Verification appendix: tie-outs and data sources</t>
        </is>
      </c>
    </row>
    <row r="14">
      <c r="A14" s="7" t="inlineStr">
        <is>
          <t>Sources</t>
        </is>
      </c>
      <c r="B14" s="8" t="inlineStr">
        <is>
          <t>Full URLs and access dates</t>
        </is>
      </c>
    </row>
    <row r="16">
      <c r="A16" s="9" t="inlineStr">
        <is>
          <t>Disclaimer: Independent project for skill demonstration; not investment advice.</t>
        </is>
      </c>
    </row>
  </sheetData>
  <mergeCells count="3">
    <mergeCell ref="A1:D1"/>
    <mergeCell ref="A16:D16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2" customWidth="1" min="7" max="7"/>
    <col width="60" customWidth="1" min="8" max="8"/>
  </cols>
  <sheetData>
    <row r="1" ht="24" customHeight="1">
      <c r="A1" s="1" t="inlineStr">
        <is>
          <t>Assumptions</t>
        </is>
      </c>
    </row>
    <row r="2" ht="18" customHeight="1">
      <c r="A2" s="2" t="inlineStr">
        <is>
          <t>Blue cells are inputs. [DATA] = market/filing data; [JUDGMENT] = analyst estimate with rationale.</t>
        </is>
      </c>
    </row>
    <row r="3">
      <c r="A3" s="10" t="inlineStr">
        <is>
          <t>WACC build</t>
        </is>
      </c>
    </row>
    <row r="4">
      <c r="A4" s="3" t="inlineStr">
        <is>
          <t>Risk-free rate (US 10Y)</t>
        </is>
      </c>
      <c r="B4" s="11" t="n">
        <v>0.051</v>
      </c>
      <c r="C4" s="12" t="inlineStr">
        <is>
          <t>[DATA]</t>
        </is>
      </c>
      <c r="D4" s="13" t="inlineStr">
        <is>
          <t>5.09% on 2026-10-19 (Reuters); rounded to 5.1% (shared framework)</t>
        </is>
      </c>
    </row>
    <row r="5">
      <c r="A5" s="3" t="inlineStr">
        <is>
          <t>Equity risk premium</t>
        </is>
      </c>
      <c r="B5" s="11" t="n">
        <v>0.045</v>
      </c>
      <c r="C5" s="14" t="inlineStr">
        <is>
          <t>[JUDGMENT]</t>
        </is>
      </c>
      <c r="D5" s="13" t="inlineStr">
        <is>
          <t>Long-run US ERP assumption (shared framework)</t>
        </is>
      </c>
    </row>
    <row r="6">
      <c r="A6" s="3" t="inlineStr">
        <is>
          <t>Beta (AAPL)</t>
        </is>
      </c>
      <c r="B6" s="15" t="n">
        <v>1.07</v>
      </c>
      <c r="C6" s="12" t="inlineStr">
        <is>
          <t>[DATA]</t>
        </is>
      </c>
      <c r="D6" s="13" t="inlineStr">
        <is>
          <t>Yahoo Finance 2026-10-19 (1.069); cross-checked 1.07 (stockanalysis.com) and 1.07 (MarketBeat)</t>
        </is>
      </c>
    </row>
    <row r="7">
      <c r="A7" s="3" t="inlineStr">
        <is>
          <t>Cost of equity (CAPM)</t>
        </is>
      </c>
      <c r="B7" s="16">
        <f>Assumptions!$B$4+Assumptions!$B$6*Assumptions!$B$5</f>
        <v/>
      </c>
      <c r="C7" s="17" t="inlineStr">
        <is>
          <t>[CALC]</t>
        </is>
      </c>
      <c r="D7" s="13" t="inlineStr">
        <is>
          <t>Rf + beta × ERP</t>
        </is>
      </c>
    </row>
    <row r="8">
      <c r="A8" s="3" t="inlineStr">
        <is>
          <t>Pre-tax cost of debt</t>
        </is>
      </c>
      <c r="B8" s="11" t="n">
        <v>0.055</v>
      </c>
      <c r="C8" s="14" t="inlineStr">
        <is>
          <t>[JUDGMENT]</t>
        </is>
      </c>
      <c r="D8" s="13" t="inlineStr">
        <is>
          <t>Through-cycle new-issue estimate for AA+ credit in a 5.1% Treasury world (shared framework: uniform 5.5%)</t>
        </is>
      </c>
    </row>
    <row r="9">
      <c r="A9" s="3" t="inlineStr">
        <is>
          <t>Marginal tax rate</t>
        </is>
      </c>
      <c r="B9" s="11" t="n">
        <v>0.21</v>
      </c>
      <c r="C9" s="14" t="inlineStr">
        <is>
          <t>[JUDGMENT]</t>
        </is>
      </c>
      <c r="D9" s="13" t="inlineStr">
        <is>
          <t>US statutory 21% (shared framework)</t>
        </is>
      </c>
    </row>
    <row r="10">
      <c r="A10" s="3" t="inlineStr">
        <is>
          <t>After-tax cost of debt</t>
        </is>
      </c>
      <c r="B10" s="16">
        <f>Assumptions!$B$8*(1-Assumptions!$B$9)</f>
        <v/>
      </c>
      <c r="C10" s="17" t="inlineStr">
        <is>
          <t>[CALC]</t>
        </is>
      </c>
      <c r="D10" s="13" t="inlineStr"/>
    </row>
    <row r="11">
      <c r="A11" s="3" t="inlineStr">
        <is>
          <t>Market value of equity ($M)</t>
        </is>
      </c>
      <c r="B11" s="18" t="n">
        <v>5012536</v>
      </c>
      <c r="C11" s="12" t="inlineStr">
        <is>
          <t>[DATA]</t>
        </is>
      </c>
      <c r="D11" s="13" t="inlineStr">
        <is>
          <t>Oct 16, 2026 close $343.46 x 14,594.2M shares (Yahoo Finance, 2026-10-19)</t>
        </is>
      </c>
    </row>
    <row r="12">
      <c r="A12" s="3" t="inlineStr">
        <is>
          <t>Book value of debt ($M)</t>
        </is>
      </c>
      <c r="B12" s="18" t="n">
        <v>84344</v>
      </c>
      <c r="C12" s="12" t="inlineStr">
        <is>
          <t>[DATA]</t>
        </is>
      </c>
      <c r="D12" s="13" t="inlineStr">
        <is>
          <t>Q3 FY2026 balance sheet, Jun 2026 (Yahoo Finance)</t>
        </is>
      </c>
    </row>
    <row r="13">
      <c r="A13" s="3" t="inlineStr">
        <is>
          <t>Weight of equity</t>
        </is>
      </c>
      <c r="B13" s="16">
        <f>Assumptions!$B$11/(Assumptions!$B$11+Assumptions!$B$12)</f>
        <v/>
      </c>
      <c r="C13" s="17" t="inlineStr">
        <is>
          <t>[CALC]</t>
        </is>
      </c>
      <c r="D13" s="13" t="inlineStr"/>
    </row>
    <row r="14">
      <c r="A14" s="3" t="inlineStr">
        <is>
          <t>Weight of debt</t>
        </is>
      </c>
      <c r="B14" s="16">
        <f>Assumptions!$B$12/(Assumptions!$B$11+Assumptions!$B$12)</f>
        <v/>
      </c>
      <c r="C14" s="17" t="inlineStr">
        <is>
          <t>[CALC]</t>
        </is>
      </c>
      <c r="D14" s="13" t="inlineStr"/>
    </row>
    <row r="15">
      <c r="A15" s="3" t="inlineStr">
        <is>
          <t>WACC — base case</t>
        </is>
      </c>
      <c r="B15" s="16">
        <f>Assumptions!$B$13*Assumptions!$B$7+Assumptions!$B$14*Assumptions!$B$10</f>
        <v/>
      </c>
      <c r="C15" s="17" t="inlineStr">
        <is>
          <t>[CALC]</t>
        </is>
      </c>
      <c r="D15" s="13" t="inlineStr"/>
    </row>
    <row r="16">
      <c r="A16" s="3" t="inlineStr">
        <is>
          <t>WACC — bull case (-100 bps)</t>
        </is>
      </c>
      <c r="B16" s="16">
        <f>Assumptions!$B$15-0.01</f>
        <v/>
      </c>
      <c r="C16" s="17" t="inlineStr">
        <is>
          <t>[CALC]</t>
        </is>
      </c>
      <c r="D16" s="13" t="inlineStr">
        <is>
          <t>Rate-normalization scenario (shared framework)</t>
        </is>
      </c>
    </row>
    <row r="17">
      <c r="A17" s="3" t="inlineStr">
        <is>
          <t>WACC — bear case (+100 bps)</t>
        </is>
      </c>
      <c r="B17" s="16">
        <f>Assumptions!$B$15+0.01</f>
        <v/>
      </c>
      <c r="C17" s="17" t="inlineStr">
        <is>
          <t>[CALC]</t>
        </is>
      </c>
      <c r="D17" s="13" t="inlineStr">
        <is>
          <t>Higher-for-longer scenario (shared framework)</t>
        </is>
      </c>
    </row>
    <row r="19">
      <c r="A19" s="10" t="inlineStr">
        <is>
          <t>Forecast drivers (2026–2030)</t>
        </is>
      </c>
    </row>
    <row r="20">
      <c r="B20" s="19" t="n">
        <v>2026</v>
      </c>
      <c r="C20" s="19" t="n">
        <v>2027</v>
      </c>
      <c r="D20" s="19" t="n">
        <v>2028</v>
      </c>
      <c r="E20" s="19" t="n">
        <v>2029</v>
      </c>
      <c r="F20" s="19" t="n">
        <v>2030</v>
      </c>
    </row>
    <row r="21">
      <c r="A21" s="3" t="inlineStr">
        <is>
          <t>Revenue growth — base</t>
        </is>
      </c>
      <c r="B21" s="11" t="n">
        <v>0.1</v>
      </c>
      <c r="C21" s="11" t="n">
        <v>0.08</v>
      </c>
      <c r="D21" s="11" t="n">
        <v>0.06</v>
      </c>
      <c r="E21" s="11" t="n">
        <v>0.05</v>
      </c>
      <c r="F21" s="11" t="n">
        <v>0.04</v>
      </c>
      <c r="G21" s="14" t="inlineStr">
        <is>
          <t>[JUDGMENT]</t>
        </is>
      </c>
      <c r="H21" s="13" t="inlineStr">
        <is>
          <t>FY2026E +10% (Dec-quarter guide 10–12%; Q3 FY2026 rev +16.4% YoY), tapering to 4% as the iPhone cycle matures</t>
        </is>
      </c>
    </row>
    <row r="22">
      <c r="A22" s="3" t="inlineStr">
        <is>
          <t>Revenue growth — bull</t>
        </is>
      </c>
      <c r="B22" s="11" t="n">
        <v>0.14</v>
      </c>
      <c r="C22" s="11" t="n">
        <v>0.11</v>
      </c>
      <c r="D22" s="11" t="n">
        <v>0.09</v>
      </c>
      <c r="E22" s="11" t="n">
        <v>0.07000000000000001</v>
      </c>
      <c r="F22" s="11" t="n">
        <v>0.06</v>
      </c>
      <c r="G22" s="14" t="inlineStr">
        <is>
          <t>[JUDGMENT]</t>
        </is>
      </c>
      <c r="H22" s="13" t="inlineStr">
        <is>
          <t>AI-feature iPhone supercycle + services acceleration</t>
        </is>
      </c>
    </row>
    <row r="23">
      <c r="A23" s="3" t="inlineStr">
        <is>
          <t>Revenue growth — bear</t>
        </is>
      </c>
      <c r="B23" s="11" t="n">
        <v>0.05</v>
      </c>
      <c r="C23" s="11" t="n">
        <v>0.03</v>
      </c>
      <c r="D23" s="11" t="n">
        <v>0.02</v>
      </c>
      <c r="E23" s="11" t="n">
        <v>0.01</v>
      </c>
      <c r="F23" s="11" t="n">
        <v>0</v>
      </c>
      <c r="G23" s="14" t="inlineStr">
        <is>
          <t>[JUDGMENT]</t>
        </is>
      </c>
      <c r="H23" s="13" t="inlineStr">
        <is>
          <t>China share loss continues; upgrade cycle extends; App Store take-rate hit</t>
        </is>
      </c>
    </row>
    <row r="24">
      <c r="A24" s="3" t="inlineStr">
        <is>
          <t>EBITDA margin — base</t>
        </is>
      </c>
      <c r="B24" s="11" t="n">
        <v>0.355</v>
      </c>
      <c r="C24" s="11" t="n">
        <v>0.36</v>
      </c>
      <c r="D24" s="11" t="n">
        <v>0.365</v>
      </c>
      <c r="E24" s="11" t="n">
        <v>0.37</v>
      </c>
      <c r="F24" s="11" t="n">
        <v>0.375</v>
      </c>
      <c r="G24" s="14" t="inlineStr">
        <is>
          <t>[JUDGMENT]</t>
        </is>
      </c>
      <c r="H24" s="13" t="inlineStr">
        <is>
          <t>FY2025: 34.8%; services mix (75.4% gross margin vs 36.8% products) lifts blended margin ~50 bps/yr</t>
        </is>
      </c>
    </row>
    <row r="25">
      <c r="A25" s="3" t="inlineStr">
        <is>
          <t>EBITDA margin — bull</t>
        </is>
      </c>
      <c r="B25" s="11" t="n">
        <v>0.37</v>
      </c>
      <c r="C25" s="11" t="n">
        <v>0.375</v>
      </c>
      <c r="D25" s="11" t="n">
        <v>0.38</v>
      </c>
      <c r="E25" s="11" t="n">
        <v>0.385</v>
      </c>
      <c r="F25" s="11" t="n">
        <v>0.39</v>
      </c>
      <c r="G25" s="14" t="inlineStr">
        <is>
          <t>[JUDGMENT]</t>
        </is>
      </c>
      <c r="H25" s="13" t="inlineStr">
        <is>
          <t>Faster services mix shift; Pro-model pricing power</t>
        </is>
      </c>
    </row>
    <row r="26">
      <c r="A26" s="3" t="inlineStr">
        <is>
          <t>EBITDA margin — bear</t>
        </is>
      </c>
      <c r="B26" s="11" t="n">
        <v>0.33</v>
      </c>
      <c r="C26" s="11" t="n">
        <v>0.325</v>
      </c>
      <c r="D26" s="11" t="n">
        <v>0.32</v>
      </c>
      <c r="E26" s="11" t="n">
        <v>0.315</v>
      </c>
      <c r="F26" s="11" t="n">
        <v>0.31</v>
      </c>
      <c r="G26" s="14" t="inlineStr">
        <is>
          <t>[JUDGMENT]</t>
        </is>
      </c>
      <c r="H26" s="13" t="inlineStr">
        <is>
          <t>App Store commission pressure (US court order, EU DMA); China promo</t>
        </is>
      </c>
    </row>
    <row r="28">
      <c r="A28" s="3" t="inlineStr">
        <is>
          <t>D&amp;A (% of revenue)</t>
        </is>
      </c>
      <c r="B28" s="11" t="n">
        <v>0.028</v>
      </c>
      <c r="G28" s="14" t="inlineStr">
        <is>
          <t>[JUDGMENT]</t>
        </is>
      </c>
      <c r="H28" s="13" t="inlineStr">
        <is>
          <t>FY2025: 2.8% of revenue (11,698 / 416,161)</t>
        </is>
      </c>
    </row>
    <row r="29">
      <c r="A29" s="3" t="inlineStr">
        <is>
          <t>Stock-based comp. (% of revenue)</t>
        </is>
      </c>
      <c r="B29" s="11" t="n">
        <v>0.031</v>
      </c>
      <c r="C29" s="11" t="n">
        <v>0.03</v>
      </c>
      <c r="D29" s="11" t="n">
        <v>0.029</v>
      </c>
      <c r="E29" s="11" t="n">
        <v>0.028</v>
      </c>
      <c r="F29" s="11" t="n">
        <v>0.027</v>
      </c>
      <c r="G29" s="14" t="inlineStr">
        <is>
          <t>[JUDGMENT]</t>
        </is>
      </c>
      <c r="H29" s="13" t="inlineStr">
        <is>
          <t>FY2025: 3.1% of revenue (12,863 / 416,161); easing with scale</t>
        </is>
      </c>
    </row>
    <row r="30">
      <c r="A30" s="3" t="inlineStr">
        <is>
          <t>Capex (% of revenue)</t>
        </is>
      </c>
      <c r="B30" s="11" t="n">
        <v>0.032</v>
      </c>
      <c r="G30" s="14" t="inlineStr">
        <is>
          <t>[JUDGMENT]</t>
        </is>
      </c>
      <c r="H30" s="13" t="inlineStr">
        <is>
          <t>FY2025: 3.1% (12,715 / 416,161); AI/data-center build adds ~10 bps</t>
        </is>
      </c>
    </row>
    <row r="31">
      <c r="A31" s="3" t="inlineStr">
        <is>
          <t>Change in NWC (% of revenue growth)</t>
        </is>
      </c>
      <c r="B31" s="11" t="n">
        <v>0.04</v>
      </c>
      <c r="G31" s="14" t="inlineStr">
        <is>
          <t>[JUDGMENT]</t>
        </is>
      </c>
      <c r="H31" s="13" t="inlineStr">
        <is>
          <t>Uniform working-capital intensity (shared framework)</t>
        </is>
      </c>
    </row>
    <row r="32">
      <c r="A32" s="3" t="inlineStr">
        <is>
          <t>Terminal growth — base</t>
        </is>
      </c>
      <c r="B32" s="11" t="n">
        <v>0.03</v>
      </c>
      <c r="G32" s="14" t="inlineStr">
        <is>
          <t>[JUDGMENT]</t>
        </is>
      </c>
      <c r="H32" s="13" t="inlineStr">
        <is>
          <t>Long-run nominal GDP (shared framework)</t>
        </is>
      </c>
    </row>
    <row r="33">
      <c r="A33" s="3" t="inlineStr">
        <is>
          <t>Terminal growth — bull</t>
        </is>
      </c>
      <c r="B33" s="11" t="n">
        <v>0.035</v>
      </c>
      <c r="G33" s="14" t="inlineStr">
        <is>
          <t>[JUDGMENT]</t>
        </is>
      </c>
      <c r="H33" s="13" t="inlineStr">
        <is>
          <t>Shared framework</t>
        </is>
      </c>
    </row>
    <row r="34">
      <c r="A34" s="3" t="inlineStr">
        <is>
          <t>Terminal growth — bear</t>
        </is>
      </c>
      <c r="B34" s="11" t="n">
        <v>0.02</v>
      </c>
      <c r="G34" s="14" t="inlineStr">
        <is>
          <t>[JUDGMENT]</t>
        </is>
      </c>
      <c r="H34" s="13" t="inlineStr">
        <is>
          <t>Shared framework</t>
        </is>
      </c>
    </row>
    <row r="35">
      <c r="A35" s="3" t="inlineStr">
        <is>
          <t>Net debt ($M)</t>
        </is>
      </c>
      <c r="B35" s="18" t="n">
        <v>21945</v>
      </c>
      <c r="G35" s="12" t="inlineStr">
        <is>
          <t>[DATA]</t>
        </is>
      </c>
      <c r="H35" s="13" t="inlineStr">
        <is>
          <t>Q3 FY2026: total debt 84,344 less cash 39,544 and ST investments 22,855</t>
        </is>
      </c>
    </row>
    <row r="36">
      <c r="A36" s="3" t="inlineStr">
        <is>
          <t>Shares outstanding (M)</t>
        </is>
      </c>
      <c r="B36" s="18" t="n">
        <v>14594.18</v>
      </c>
      <c r="G36" s="12" t="inlineStr">
        <is>
          <t>[DATA]</t>
        </is>
      </c>
      <c r="H36" s="13" t="inlineStr">
        <is>
          <t>Yahoo Finance 2026-10-19 (14,594.2M); stockanalysis.com 14.59B — consistent with market cap / price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Historical financials — AAPL</t>
        </is>
      </c>
    </row>
    <row r="2" ht="18" customHeight="1">
      <c r="A2" s="2" t="inlineStr">
        <is>
          <t>$ millions. FY2022–FY2025 (fiscal years ended September 30). Source: Yahoo Finance annual statements (filing-derived), as of 2026-10-19.</t>
        </is>
      </c>
    </row>
    <row r="3">
      <c r="A3" s="20" t="inlineStr"/>
      <c r="B3" s="20" t="n">
        <v>2022</v>
      </c>
      <c r="C3" s="20" t="n">
        <v>2023</v>
      </c>
      <c r="D3" s="20" t="n">
        <v>2024</v>
      </c>
      <c r="E3" s="20" t="n">
        <v>2025</v>
      </c>
    </row>
    <row r="4">
      <c r="A4" s="3" t="inlineStr">
        <is>
          <t>Total revenue</t>
        </is>
      </c>
      <c r="B4" s="21" t="n">
        <v>394328</v>
      </c>
      <c r="C4" s="21" t="n">
        <v>383285</v>
      </c>
      <c r="D4" s="21" t="n">
        <v>391035</v>
      </c>
      <c r="E4" s="21" t="n">
        <v>416161</v>
      </c>
    </row>
    <row r="5">
      <c r="A5" s="3" t="inlineStr">
        <is>
          <t>Gross profit</t>
        </is>
      </c>
      <c r="B5" s="21" t="n">
        <v>170782</v>
      </c>
      <c r="C5" s="21" t="n">
        <v>169148</v>
      </c>
      <c r="D5" s="21" t="n">
        <v>180683</v>
      </c>
      <c r="E5" s="21" t="n">
        <v>195201</v>
      </c>
    </row>
    <row r="6">
      <c r="A6" s="3" t="inlineStr">
        <is>
          <t>EBITDA</t>
        </is>
      </c>
      <c r="B6" s="21" t="n">
        <v>130541</v>
      </c>
      <c r="C6" s="21" t="n">
        <v>125820</v>
      </c>
      <c r="D6" s="21" t="n">
        <v>134661</v>
      </c>
      <c r="E6" s="21" t="n">
        <v>144748</v>
      </c>
    </row>
    <row r="7">
      <c r="A7" s="3" t="inlineStr">
        <is>
          <t>EBITDA margin</t>
        </is>
      </c>
      <c r="B7" s="16">
        <f>B6/B4</f>
        <v/>
      </c>
      <c r="C7" s="16">
        <f>C6/C4</f>
        <v/>
      </c>
      <c r="D7" s="16">
        <f>D6/D4</f>
        <v/>
      </c>
      <c r="E7" s="16">
        <f>E6/E4</f>
        <v/>
      </c>
    </row>
    <row r="8">
      <c r="A8" s="3" t="inlineStr">
        <is>
          <t>Operating income</t>
        </is>
      </c>
      <c r="B8" s="21" t="n">
        <v>119437</v>
      </c>
      <c r="C8" s="21" t="n">
        <v>114301</v>
      </c>
      <c r="D8" s="21" t="n">
        <v>123216</v>
      </c>
      <c r="E8" s="21" t="n">
        <v>133050</v>
      </c>
    </row>
    <row r="9">
      <c r="A9" s="3" t="inlineStr">
        <is>
          <t>Net income</t>
        </is>
      </c>
      <c r="B9" s="21" t="n">
        <v>99803</v>
      </c>
      <c r="C9" s="21" t="n">
        <v>96995</v>
      </c>
      <c r="D9" s="21" t="n">
        <v>93736</v>
      </c>
      <c r="E9" s="21" t="n">
        <v>112010</v>
      </c>
    </row>
    <row r="10">
      <c r="A10" s="3" t="inlineStr">
        <is>
          <t>Diluted average shares (M)</t>
        </is>
      </c>
      <c r="B10" s="21" t="n">
        <v>16325.8</v>
      </c>
      <c r="C10" s="21" t="n">
        <v>15812.5</v>
      </c>
      <c r="D10" s="21" t="n">
        <v>15408.1</v>
      </c>
      <c r="E10" s="21" t="n">
        <v>15004.7</v>
      </c>
    </row>
    <row r="11">
      <c r="A11" s="3" t="inlineStr">
        <is>
          <t>Operating cash flow</t>
        </is>
      </c>
      <c r="B11" s="21" t="n">
        <v>122151</v>
      </c>
      <c r="C11" s="21" t="n">
        <v>110543</v>
      </c>
      <c r="D11" s="21" t="n">
        <v>118254</v>
      </c>
      <c r="E11" s="21" t="n">
        <v>111482</v>
      </c>
    </row>
    <row r="12">
      <c r="A12" s="3" t="inlineStr">
        <is>
          <t>Capital expenditures</t>
        </is>
      </c>
      <c r="B12" s="21" t="n">
        <v>-10708</v>
      </c>
      <c r="C12" s="21" t="n">
        <v>-10959</v>
      </c>
      <c r="D12" s="21" t="n">
        <v>-9447</v>
      </c>
      <c r="E12" s="21" t="n">
        <v>-12715</v>
      </c>
    </row>
    <row r="13">
      <c r="A13" s="3" t="inlineStr">
        <is>
          <t>Free cash flow</t>
        </is>
      </c>
      <c r="B13" s="21" t="n">
        <v>111443</v>
      </c>
      <c r="C13" s="21" t="n">
        <v>99584</v>
      </c>
      <c r="D13" s="21" t="n">
        <v>108807</v>
      </c>
      <c r="E13" s="21" t="n">
        <v>98767</v>
      </c>
    </row>
    <row r="14">
      <c r="A14" s="3" t="inlineStr">
        <is>
          <t>Cash &amp; ST investments</t>
        </is>
      </c>
      <c r="B14" s="21" t="n">
        <v>48304</v>
      </c>
      <c r="C14" s="21" t="n">
        <v>61555</v>
      </c>
      <c r="D14" s="21" t="n">
        <v>65171</v>
      </c>
      <c r="E14" s="21" t="n">
        <v>54697</v>
      </c>
    </row>
    <row r="15">
      <c r="A15" s="3" t="inlineStr">
        <is>
          <t>Total debt</t>
        </is>
      </c>
      <c r="B15" s="21" t="n">
        <v>132480</v>
      </c>
      <c r="C15" s="21" t="n">
        <v>111088</v>
      </c>
      <c r="D15" s="21" t="n">
        <v>106629</v>
      </c>
      <c r="E15" s="21" t="n">
        <v>98657</v>
      </c>
    </row>
    <row r="16">
      <c r="A16" s="3" t="inlineStr">
        <is>
          <t>Revenue growth</t>
        </is>
      </c>
      <c r="B16" s="16" t="n"/>
      <c r="C16" s="16">
        <f>C4/B4-1</f>
        <v/>
      </c>
      <c r="D16" s="16">
        <f>D4/C4-1</f>
        <v/>
      </c>
      <c r="E16" s="16">
        <f>E4/D4-1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Apple Inc. (AAPL) — Discounted cash flow — base case</t>
        </is>
      </c>
    </row>
    <row r="2" ht="18" customHeight="1">
      <c r="A2" s="2" t="inlineStr">
        <is>
          <t>$ millions, except per-share. All formulas reference Assumptions / Historicals.</t>
        </is>
      </c>
    </row>
    <row r="3">
      <c r="A3" s="20" t="inlineStr"/>
      <c r="B3" s="20" t="n">
        <v>2026</v>
      </c>
      <c r="C3" s="20" t="n">
        <v>2027</v>
      </c>
      <c r="D3" s="20" t="n">
        <v>2028</v>
      </c>
      <c r="E3" s="20" t="n">
        <v>2029</v>
      </c>
      <c r="F3" s="20" t="n">
        <v>2030</v>
      </c>
    </row>
    <row r="4">
      <c r="A4" s="3" t="inlineStr">
        <is>
          <t>Revenue</t>
        </is>
      </c>
      <c r="B4" s="21">
        <f>Historicals!$E$4*(1+Assumptions!B$21)</f>
        <v/>
      </c>
      <c r="C4" s="21">
        <f>B4*(1+Assumptions!C$21)</f>
        <v/>
      </c>
      <c r="D4" s="21">
        <f>C4*(1+Assumptions!D$21)</f>
        <v/>
      </c>
      <c r="E4" s="21">
        <f>D4*(1+Assumptions!E$21)</f>
        <v/>
      </c>
      <c r="F4" s="21">
        <f>E4*(1+Assumptions!F$21)</f>
        <v/>
      </c>
    </row>
    <row r="5">
      <c r="A5" s="3" t="inlineStr">
        <is>
          <t>Revenue growth</t>
        </is>
      </c>
      <c r="B5" s="16">
        <f>B4/Historicals!$E$4-1</f>
        <v/>
      </c>
      <c r="C5" s="16">
        <f>C4/B4-1</f>
        <v/>
      </c>
      <c r="D5" s="16">
        <f>D4/C4-1</f>
        <v/>
      </c>
      <c r="E5" s="16">
        <f>E4/D4-1</f>
        <v/>
      </c>
      <c r="F5" s="16">
        <f>F4/E4-1</f>
        <v/>
      </c>
    </row>
    <row r="6">
      <c r="A6" s="3" t="inlineStr">
        <is>
          <t>EBITDA margin</t>
        </is>
      </c>
      <c r="B6" s="16">
        <f>Assumptions!B$24</f>
        <v/>
      </c>
      <c r="C6" s="16">
        <f>Assumptions!C$24</f>
        <v/>
      </c>
      <c r="D6" s="16">
        <f>Assumptions!D$24</f>
        <v/>
      </c>
      <c r="E6" s="16">
        <f>Assumptions!E$24</f>
        <v/>
      </c>
      <c r="F6" s="16">
        <f>Assumptions!F$24</f>
        <v/>
      </c>
    </row>
    <row r="7">
      <c r="A7" s="3" t="inlineStr">
        <is>
          <t>EBITDA</t>
        </is>
      </c>
      <c r="B7" s="21">
        <f>B4*B6</f>
        <v/>
      </c>
      <c r="C7" s="21">
        <f>C4*C6</f>
        <v/>
      </c>
      <c r="D7" s="21">
        <f>D4*D6</f>
        <v/>
      </c>
      <c r="E7" s="21">
        <f>E4*E6</f>
        <v/>
      </c>
      <c r="F7" s="21">
        <f>F4*F6</f>
        <v/>
      </c>
    </row>
    <row r="8">
      <c r="A8" s="3" t="inlineStr">
        <is>
          <t>Less: Depreciation &amp; amortization</t>
        </is>
      </c>
      <c r="B8" s="21">
        <f>B4*Assumptions!$B$28</f>
        <v/>
      </c>
      <c r="C8" s="21">
        <f>C4*Assumptions!$B$28</f>
        <v/>
      </c>
      <c r="D8" s="21">
        <f>D4*Assumptions!$B$28</f>
        <v/>
      </c>
      <c r="E8" s="21">
        <f>E4*Assumptions!$B$28</f>
        <v/>
      </c>
      <c r="F8" s="21">
        <f>F4*Assumptions!$B$28</f>
        <v/>
      </c>
    </row>
    <row r="9">
      <c r="A9" s="3" t="inlineStr">
        <is>
          <t>EBIT</t>
        </is>
      </c>
      <c r="B9" s="21">
        <f>B7-B8</f>
        <v/>
      </c>
      <c r="C9" s="21">
        <f>C7-C8</f>
        <v/>
      </c>
      <c r="D9" s="21">
        <f>D7-D8</f>
        <v/>
      </c>
      <c r="E9" s="21">
        <f>E7-E8</f>
        <v/>
      </c>
      <c r="F9" s="21">
        <f>F7-F8</f>
        <v/>
      </c>
    </row>
    <row r="10">
      <c r="A10" s="3" t="inlineStr">
        <is>
          <t>Tax rate</t>
        </is>
      </c>
      <c r="B10" s="16">
        <f>Assumptions!$B$9</f>
        <v/>
      </c>
      <c r="C10" s="16">
        <f>Assumptions!$B$9</f>
        <v/>
      </c>
      <c r="D10" s="16">
        <f>Assumptions!$B$9</f>
        <v/>
      </c>
      <c r="E10" s="16">
        <f>Assumptions!$B$9</f>
        <v/>
      </c>
      <c r="F10" s="16">
        <f>Assumptions!$B$9</f>
        <v/>
      </c>
    </row>
    <row r="11">
      <c r="A11" s="3" t="inlineStr">
        <is>
          <t>Less: Income tax</t>
        </is>
      </c>
      <c r="B11" s="21">
        <f>B9*B10</f>
        <v/>
      </c>
      <c r="C11" s="21">
        <f>C9*C10</f>
        <v/>
      </c>
      <c r="D11" s="21">
        <f>D9*D10</f>
        <v/>
      </c>
      <c r="E11" s="21">
        <f>E9*E10</f>
        <v/>
      </c>
      <c r="F11" s="21">
        <f>F9*F10</f>
        <v/>
      </c>
    </row>
    <row r="12">
      <c r="A12" s="3" t="inlineStr">
        <is>
          <t>NOPAT</t>
        </is>
      </c>
      <c r="B12" s="21">
        <f>B9-B11</f>
        <v/>
      </c>
      <c r="C12" s="21">
        <f>C9-C11</f>
        <v/>
      </c>
      <c r="D12" s="21">
        <f>D9-D11</f>
        <v/>
      </c>
      <c r="E12" s="21">
        <f>E9-E11</f>
        <v/>
      </c>
      <c r="F12" s="21">
        <f>F9-F11</f>
        <v/>
      </c>
    </row>
    <row r="13">
      <c r="A13" s="3" t="inlineStr">
        <is>
          <t>Add: Stock-based compensation</t>
        </is>
      </c>
      <c r="B13" s="21">
        <f>B4*Assumptions!B$29</f>
        <v/>
      </c>
      <c r="C13" s="21">
        <f>C4*Assumptions!C$29</f>
        <v/>
      </c>
      <c r="D13" s="21">
        <f>D4*Assumptions!D$29</f>
        <v/>
      </c>
      <c r="E13" s="21">
        <f>E4*Assumptions!E$29</f>
        <v/>
      </c>
      <c r="F13" s="21">
        <f>F4*Assumptions!F$29</f>
        <v/>
      </c>
    </row>
    <row r="14">
      <c r="A14" s="3" t="inlineStr">
        <is>
          <t>Less: Capital expenditures</t>
        </is>
      </c>
      <c r="B14" s="21">
        <f>B4*Assumptions!$B$30</f>
        <v/>
      </c>
      <c r="C14" s="21">
        <f>C4*Assumptions!$B$30</f>
        <v/>
      </c>
      <c r="D14" s="21">
        <f>D4*Assumptions!$B$30</f>
        <v/>
      </c>
      <c r="E14" s="21">
        <f>E4*Assumptions!$B$30</f>
        <v/>
      </c>
      <c r="F14" s="21">
        <f>F4*Assumptions!$B$30</f>
        <v/>
      </c>
    </row>
    <row r="15">
      <c r="A15" s="3" t="inlineStr">
        <is>
          <t>Less: Change in net working capital</t>
        </is>
      </c>
      <c r="B15" s="21">
        <f>(B4-Historicals!$E$4)*Assumptions!$B$31</f>
        <v/>
      </c>
      <c r="C15" s="21">
        <f>(C4-B4)*Assumptions!$B$31</f>
        <v/>
      </c>
      <c r="D15" s="21">
        <f>(D4-C4)*Assumptions!$B$31</f>
        <v/>
      </c>
      <c r="E15" s="21">
        <f>(E4-D4)*Assumptions!$B$31</f>
        <v/>
      </c>
      <c r="F15" s="21">
        <f>(F4-E4)*Assumptions!$B$31</f>
        <v/>
      </c>
    </row>
    <row r="16">
      <c r="A16" s="3" t="inlineStr">
        <is>
          <t>Unlevered free cash flow</t>
        </is>
      </c>
      <c r="B16" s="21">
        <f>B12+B8+B13-B14-B15</f>
        <v/>
      </c>
      <c r="C16" s="21">
        <f>C12+C8+C13-C14-C15</f>
        <v/>
      </c>
      <c r="D16" s="21">
        <f>D12+D8+D13-D14-D15</f>
        <v/>
      </c>
      <c r="E16" s="21">
        <f>E12+E8+E13-E14-E15</f>
        <v/>
      </c>
      <c r="F16" s="21">
        <f>F12+F8+F13-F14-F15</f>
        <v/>
      </c>
    </row>
    <row r="17">
      <c r="A17" s="3" t="inlineStr">
        <is>
          <t>Discount factor</t>
        </is>
      </c>
      <c r="B17" s="22">
        <f>1/(1+Assumptions!$B$15)^1</f>
        <v/>
      </c>
      <c r="C17" s="22">
        <f>1/(1+Assumptions!$B$15)^2</f>
        <v/>
      </c>
      <c r="D17" s="22">
        <f>1/(1+Assumptions!$B$15)^3</f>
        <v/>
      </c>
      <c r="E17" s="22">
        <f>1/(1+Assumptions!$B$15)^4</f>
        <v/>
      </c>
      <c r="F17" s="22">
        <f>1/(1+Assumptions!$B$15)^5</f>
        <v/>
      </c>
    </row>
    <row r="18">
      <c r="A18" s="3" t="inlineStr">
        <is>
          <t>Present value of FCF</t>
        </is>
      </c>
      <c r="B18" s="21">
        <f>B16*B17</f>
        <v/>
      </c>
      <c r="C18" s="21">
        <f>C16*C17</f>
        <v/>
      </c>
      <c r="D18" s="21">
        <f>D16*D17</f>
        <v/>
      </c>
      <c r="E18" s="21">
        <f>E16*E17</f>
        <v/>
      </c>
      <c r="F18" s="21">
        <f>F16*F17</f>
        <v/>
      </c>
    </row>
    <row r="19">
      <c r="A19" s="7" t="inlineStr">
        <is>
          <t>Sum of PV of FCF</t>
        </is>
      </c>
      <c r="B19" s="21">
        <f>SUM(B18:F18)</f>
        <v/>
      </c>
    </row>
    <row r="20">
      <c r="A20" s="3" t="inlineStr">
        <is>
          <t>Terminal value</t>
        </is>
      </c>
      <c r="B20" s="21">
        <f>F16*(1+Assumptions!$B$32)/(Assumptions!$B$15-Assumptions!$B$32)</f>
        <v/>
      </c>
    </row>
    <row r="21">
      <c r="A21" s="3" t="inlineStr">
        <is>
          <t>PV of terminal value</t>
        </is>
      </c>
      <c r="B21" s="21">
        <f>B20/(1+Assumptions!$B$15)^5</f>
        <v/>
      </c>
    </row>
    <row r="22">
      <c r="A22" s="7" t="inlineStr">
        <is>
          <t>Enterprise value</t>
        </is>
      </c>
      <c r="B22" s="21">
        <f>B19+B21</f>
        <v/>
      </c>
    </row>
    <row r="23">
      <c r="A23" s="3" t="inlineStr">
        <is>
          <t>Less: Net debt (add: net cash)</t>
        </is>
      </c>
      <c r="B23" s="21">
        <f>Assumptions!$B$35</f>
        <v/>
      </c>
    </row>
    <row r="24">
      <c r="A24" s="7" t="inlineStr">
        <is>
          <t>Equity value</t>
        </is>
      </c>
      <c r="B24" s="21">
        <f>B22-B23</f>
        <v/>
      </c>
    </row>
    <row r="25">
      <c r="A25" s="3" t="inlineStr">
        <is>
          <t>Shares outstanding (M)</t>
        </is>
      </c>
      <c r="B25" s="21">
        <f>Assumptions!$B$36</f>
        <v/>
      </c>
    </row>
    <row r="26">
      <c r="A26" s="10" t="inlineStr">
        <is>
          <t>Implied value per share ($)</t>
        </is>
      </c>
      <c r="B26" s="23">
        <f>B24/B25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Apple Inc. (AAPL) — Discounted cash flow — bull case</t>
        </is>
      </c>
    </row>
    <row r="2" ht="18" customHeight="1">
      <c r="A2" s="2" t="inlineStr">
        <is>
          <t>$ millions, except per-share. All formulas reference Assumptions / Historicals.</t>
        </is>
      </c>
    </row>
    <row r="3">
      <c r="A3" s="20" t="inlineStr"/>
      <c r="B3" s="20" t="n">
        <v>2026</v>
      </c>
      <c r="C3" s="20" t="n">
        <v>2027</v>
      </c>
      <c r="D3" s="20" t="n">
        <v>2028</v>
      </c>
      <c r="E3" s="20" t="n">
        <v>2029</v>
      </c>
      <c r="F3" s="20" t="n">
        <v>2030</v>
      </c>
    </row>
    <row r="4">
      <c r="A4" s="3" t="inlineStr">
        <is>
          <t>Revenue</t>
        </is>
      </c>
      <c r="B4" s="21">
        <f>Historicals!$E$4*(1+Assumptions!B$22)</f>
        <v/>
      </c>
      <c r="C4" s="21">
        <f>B4*(1+Assumptions!C$22)</f>
        <v/>
      </c>
      <c r="D4" s="21">
        <f>C4*(1+Assumptions!D$22)</f>
        <v/>
      </c>
      <c r="E4" s="21">
        <f>D4*(1+Assumptions!E$22)</f>
        <v/>
      </c>
      <c r="F4" s="21">
        <f>E4*(1+Assumptions!F$22)</f>
        <v/>
      </c>
    </row>
    <row r="5">
      <c r="A5" s="3" t="inlineStr">
        <is>
          <t>Revenue growth</t>
        </is>
      </c>
      <c r="B5" s="16">
        <f>B4/Historicals!$E$4-1</f>
        <v/>
      </c>
      <c r="C5" s="16">
        <f>C4/B4-1</f>
        <v/>
      </c>
      <c r="D5" s="16">
        <f>D4/C4-1</f>
        <v/>
      </c>
      <c r="E5" s="16">
        <f>E4/D4-1</f>
        <v/>
      </c>
      <c r="F5" s="16">
        <f>F4/E4-1</f>
        <v/>
      </c>
    </row>
    <row r="6">
      <c r="A6" s="3" t="inlineStr">
        <is>
          <t>EBITDA margin</t>
        </is>
      </c>
      <c r="B6" s="16">
        <f>Assumptions!B$25</f>
        <v/>
      </c>
      <c r="C6" s="16">
        <f>Assumptions!C$25</f>
        <v/>
      </c>
      <c r="D6" s="16">
        <f>Assumptions!D$25</f>
        <v/>
      </c>
      <c r="E6" s="16">
        <f>Assumptions!E$25</f>
        <v/>
      </c>
      <c r="F6" s="16">
        <f>Assumptions!F$25</f>
        <v/>
      </c>
    </row>
    <row r="7">
      <c r="A7" s="3" t="inlineStr">
        <is>
          <t>EBITDA</t>
        </is>
      </c>
      <c r="B7" s="21">
        <f>B4*B6</f>
        <v/>
      </c>
      <c r="C7" s="21">
        <f>C4*C6</f>
        <v/>
      </c>
      <c r="D7" s="21">
        <f>D4*D6</f>
        <v/>
      </c>
      <c r="E7" s="21">
        <f>E4*E6</f>
        <v/>
      </c>
      <c r="F7" s="21">
        <f>F4*F6</f>
        <v/>
      </c>
    </row>
    <row r="8">
      <c r="A8" s="3" t="inlineStr">
        <is>
          <t>Less: Depreciation &amp; amortization</t>
        </is>
      </c>
      <c r="B8" s="21">
        <f>B4*Assumptions!$B$28</f>
        <v/>
      </c>
      <c r="C8" s="21">
        <f>C4*Assumptions!$B$28</f>
        <v/>
      </c>
      <c r="D8" s="21">
        <f>D4*Assumptions!$B$28</f>
        <v/>
      </c>
      <c r="E8" s="21">
        <f>E4*Assumptions!$B$28</f>
        <v/>
      </c>
      <c r="F8" s="21">
        <f>F4*Assumptions!$B$28</f>
        <v/>
      </c>
    </row>
    <row r="9">
      <c r="A9" s="3" t="inlineStr">
        <is>
          <t>EBIT</t>
        </is>
      </c>
      <c r="B9" s="21">
        <f>B7-B8</f>
        <v/>
      </c>
      <c r="C9" s="21">
        <f>C7-C8</f>
        <v/>
      </c>
      <c r="D9" s="21">
        <f>D7-D8</f>
        <v/>
      </c>
      <c r="E9" s="21">
        <f>E7-E8</f>
        <v/>
      </c>
      <c r="F9" s="21">
        <f>F7-F8</f>
        <v/>
      </c>
    </row>
    <row r="10">
      <c r="A10" s="3" t="inlineStr">
        <is>
          <t>Tax rate</t>
        </is>
      </c>
      <c r="B10" s="16">
        <f>Assumptions!$B$9</f>
        <v/>
      </c>
      <c r="C10" s="16">
        <f>Assumptions!$B$9</f>
        <v/>
      </c>
      <c r="D10" s="16">
        <f>Assumptions!$B$9</f>
        <v/>
      </c>
      <c r="E10" s="16">
        <f>Assumptions!$B$9</f>
        <v/>
      </c>
      <c r="F10" s="16">
        <f>Assumptions!$B$9</f>
        <v/>
      </c>
    </row>
    <row r="11">
      <c r="A11" s="3" t="inlineStr">
        <is>
          <t>Less: Income tax</t>
        </is>
      </c>
      <c r="B11" s="21">
        <f>B9*B10</f>
        <v/>
      </c>
      <c r="C11" s="21">
        <f>C9*C10</f>
        <v/>
      </c>
      <c r="D11" s="21">
        <f>D9*D10</f>
        <v/>
      </c>
      <c r="E11" s="21">
        <f>E9*E10</f>
        <v/>
      </c>
      <c r="F11" s="21">
        <f>F9*F10</f>
        <v/>
      </c>
    </row>
    <row r="12">
      <c r="A12" s="3" t="inlineStr">
        <is>
          <t>NOPAT</t>
        </is>
      </c>
      <c r="B12" s="21">
        <f>B9-B11</f>
        <v/>
      </c>
      <c r="C12" s="21">
        <f>C9-C11</f>
        <v/>
      </c>
      <c r="D12" s="21">
        <f>D9-D11</f>
        <v/>
      </c>
      <c r="E12" s="21">
        <f>E9-E11</f>
        <v/>
      </c>
      <c r="F12" s="21">
        <f>F9-F11</f>
        <v/>
      </c>
    </row>
    <row r="13">
      <c r="A13" s="3" t="inlineStr">
        <is>
          <t>Add: Stock-based compensation</t>
        </is>
      </c>
      <c r="B13" s="21">
        <f>B4*Assumptions!B$29</f>
        <v/>
      </c>
      <c r="C13" s="21">
        <f>C4*Assumptions!C$29</f>
        <v/>
      </c>
      <c r="D13" s="21">
        <f>D4*Assumptions!D$29</f>
        <v/>
      </c>
      <c r="E13" s="21">
        <f>E4*Assumptions!E$29</f>
        <v/>
      </c>
      <c r="F13" s="21">
        <f>F4*Assumptions!F$29</f>
        <v/>
      </c>
    </row>
    <row r="14">
      <c r="A14" s="3" t="inlineStr">
        <is>
          <t>Less: Capital expenditures</t>
        </is>
      </c>
      <c r="B14" s="21">
        <f>B4*Assumptions!$B$30</f>
        <v/>
      </c>
      <c r="C14" s="21">
        <f>C4*Assumptions!$B$30</f>
        <v/>
      </c>
      <c r="D14" s="21">
        <f>D4*Assumptions!$B$30</f>
        <v/>
      </c>
      <c r="E14" s="21">
        <f>E4*Assumptions!$B$30</f>
        <v/>
      </c>
      <c r="F14" s="21">
        <f>F4*Assumptions!$B$30</f>
        <v/>
      </c>
    </row>
    <row r="15">
      <c r="A15" s="3" t="inlineStr">
        <is>
          <t>Less: Change in net working capital</t>
        </is>
      </c>
      <c r="B15" s="21">
        <f>(B4-Historicals!$E$4)*Assumptions!$B$31</f>
        <v/>
      </c>
      <c r="C15" s="21">
        <f>(C4-B4)*Assumptions!$B$31</f>
        <v/>
      </c>
      <c r="D15" s="21">
        <f>(D4-C4)*Assumptions!$B$31</f>
        <v/>
      </c>
      <c r="E15" s="21">
        <f>(E4-D4)*Assumptions!$B$31</f>
        <v/>
      </c>
      <c r="F15" s="21">
        <f>(F4-E4)*Assumptions!$B$31</f>
        <v/>
      </c>
    </row>
    <row r="16">
      <c r="A16" s="3" t="inlineStr">
        <is>
          <t>Unlevered free cash flow</t>
        </is>
      </c>
      <c r="B16" s="21">
        <f>B12+B8+B13-B14-B15</f>
        <v/>
      </c>
      <c r="C16" s="21">
        <f>C12+C8+C13-C14-C15</f>
        <v/>
      </c>
      <c r="D16" s="21">
        <f>D12+D8+D13-D14-D15</f>
        <v/>
      </c>
      <c r="E16" s="21">
        <f>E12+E8+E13-E14-E15</f>
        <v/>
      </c>
      <c r="F16" s="21">
        <f>F12+F8+F13-F14-F15</f>
        <v/>
      </c>
    </row>
    <row r="17">
      <c r="A17" s="3" t="inlineStr">
        <is>
          <t>Discount factor</t>
        </is>
      </c>
      <c r="B17" s="22">
        <f>1/(1+Assumptions!$B$16)^1</f>
        <v/>
      </c>
      <c r="C17" s="22">
        <f>1/(1+Assumptions!$B$16)^2</f>
        <v/>
      </c>
      <c r="D17" s="22">
        <f>1/(1+Assumptions!$B$16)^3</f>
        <v/>
      </c>
      <c r="E17" s="22">
        <f>1/(1+Assumptions!$B$16)^4</f>
        <v/>
      </c>
      <c r="F17" s="22">
        <f>1/(1+Assumptions!$B$16)^5</f>
        <v/>
      </c>
    </row>
    <row r="18">
      <c r="A18" s="3" t="inlineStr">
        <is>
          <t>Present value of FCF</t>
        </is>
      </c>
      <c r="B18" s="21">
        <f>B16*B17</f>
        <v/>
      </c>
      <c r="C18" s="21">
        <f>C16*C17</f>
        <v/>
      </c>
      <c r="D18" s="21">
        <f>D16*D17</f>
        <v/>
      </c>
      <c r="E18" s="21">
        <f>E16*E17</f>
        <v/>
      </c>
      <c r="F18" s="21">
        <f>F16*F17</f>
        <v/>
      </c>
    </row>
    <row r="19">
      <c r="A19" s="7" t="inlineStr">
        <is>
          <t>Sum of PV of FCF</t>
        </is>
      </c>
      <c r="B19" s="21">
        <f>SUM(B18:F18)</f>
        <v/>
      </c>
    </row>
    <row r="20">
      <c r="A20" s="3" t="inlineStr">
        <is>
          <t>Terminal value</t>
        </is>
      </c>
      <c r="B20" s="21">
        <f>F16*(1+Assumptions!$B$33)/(Assumptions!$B$16-Assumptions!$B$33)</f>
        <v/>
      </c>
    </row>
    <row r="21">
      <c r="A21" s="3" t="inlineStr">
        <is>
          <t>PV of terminal value</t>
        </is>
      </c>
      <c r="B21" s="21">
        <f>B20/(1+Assumptions!$B$16)^5</f>
        <v/>
      </c>
    </row>
    <row r="22">
      <c r="A22" s="7" t="inlineStr">
        <is>
          <t>Enterprise value</t>
        </is>
      </c>
      <c r="B22" s="21">
        <f>B19+B21</f>
        <v/>
      </c>
    </row>
    <row r="23">
      <c r="A23" s="3" t="inlineStr">
        <is>
          <t>Less: Net debt (add: net cash)</t>
        </is>
      </c>
      <c r="B23" s="21">
        <f>Assumptions!$B$35</f>
        <v/>
      </c>
    </row>
    <row r="24">
      <c r="A24" s="7" t="inlineStr">
        <is>
          <t>Equity value</t>
        </is>
      </c>
      <c r="B24" s="21">
        <f>B22-B23</f>
        <v/>
      </c>
    </row>
    <row r="25">
      <c r="A25" s="3" t="inlineStr">
        <is>
          <t>Shares outstanding (M)</t>
        </is>
      </c>
      <c r="B25" s="21">
        <f>Assumptions!$B$36</f>
        <v/>
      </c>
    </row>
    <row r="26">
      <c r="A26" s="10" t="inlineStr">
        <is>
          <t>Implied value per share ($)</t>
        </is>
      </c>
      <c r="B26" s="23">
        <f>B24/B25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Apple Inc. (AAPL) — Discounted cash flow — bear case</t>
        </is>
      </c>
    </row>
    <row r="2" ht="18" customHeight="1">
      <c r="A2" s="2" t="inlineStr">
        <is>
          <t>$ millions, except per-share. All formulas reference Assumptions / Historicals.</t>
        </is>
      </c>
    </row>
    <row r="3">
      <c r="A3" s="20" t="inlineStr"/>
      <c r="B3" s="20" t="n">
        <v>2026</v>
      </c>
      <c r="C3" s="20" t="n">
        <v>2027</v>
      </c>
      <c r="D3" s="20" t="n">
        <v>2028</v>
      </c>
      <c r="E3" s="20" t="n">
        <v>2029</v>
      </c>
      <c r="F3" s="20" t="n">
        <v>2030</v>
      </c>
    </row>
    <row r="4">
      <c r="A4" s="3" t="inlineStr">
        <is>
          <t>Revenue</t>
        </is>
      </c>
      <c r="B4" s="21">
        <f>Historicals!$E$4*(1+Assumptions!B$23)</f>
        <v/>
      </c>
      <c r="C4" s="21">
        <f>B4*(1+Assumptions!C$23)</f>
        <v/>
      </c>
      <c r="D4" s="21">
        <f>C4*(1+Assumptions!D$23)</f>
        <v/>
      </c>
      <c r="E4" s="21">
        <f>D4*(1+Assumptions!E$23)</f>
        <v/>
      </c>
      <c r="F4" s="21">
        <f>E4*(1+Assumptions!F$23)</f>
        <v/>
      </c>
    </row>
    <row r="5">
      <c r="A5" s="3" t="inlineStr">
        <is>
          <t>Revenue growth</t>
        </is>
      </c>
      <c r="B5" s="16">
        <f>B4/Historicals!$E$4-1</f>
        <v/>
      </c>
      <c r="C5" s="16">
        <f>C4/B4-1</f>
        <v/>
      </c>
      <c r="D5" s="16">
        <f>D4/C4-1</f>
        <v/>
      </c>
      <c r="E5" s="16">
        <f>E4/D4-1</f>
        <v/>
      </c>
      <c r="F5" s="16">
        <f>F4/E4-1</f>
        <v/>
      </c>
    </row>
    <row r="6">
      <c r="A6" s="3" t="inlineStr">
        <is>
          <t>EBITDA margin</t>
        </is>
      </c>
      <c r="B6" s="16">
        <f>Assumptions!B$26</f>
        <v/>
      </c>
      <c r="C6" s="16">
        <f>Assumptions!C$26</f>
        <v/>
      </c>
      <c r="D6" s="16">
        <f>Assumptions!D$26</f>
        <v/>
      </c>
      <c r="E6" s="16">
        <f>Assumptions!E$26</f>
        <v/>
      </c>
      <c r="F6" s="16">
        <f>Assumptions!F$26</f>
        <v/>
      </c>
    </row>
    <row r="7">
      <c r="A7" s="3" t="inlineStr">
        <is>
          <t>EBITDA</t>
        </is>
      </c>
      <c r="B7" s="21">
        <f>B4*B6</f>
        <v/>
      </c>
      <c r="C7" s="21">
        <f>C4*C6</f>
        <v/>
      </c>
      <c r="D7" s="21">
        <f>D4*D6</f>
        <v/>
      </c>
      <c r="E7" s="21">
        <f>E4*E6</f>
        <v/>
      </c>
      <c r="F7" s="21">
        <f>F4*F6</f>
        <v/>
      </c>
    </row>
    <row r="8">
      <c r="A8" s="3" t="inlineStr">
        <is>
          <t>Less: Depreciation &amp; amortization</t>
        </is>
      </c>
      <c r="B8" s="21">
        <f>B4*Assumptions!$B$28</f>
        <v/>
      </c>
      <c r="C8" s="21">
        <f>C4*Assumptions!$B$28</f>
        <v/>
      </c>
      <c r="D8" s="21">
        <f>D4*Assumptions!$B$28</f>
        <v/>
      </c>
      <c r="E8" s="21">
        <f>E4*Assumptions!$B$28</f>
        <v/>
      </c>
      <c r="F8" s="21">
        <f>F4*Assumptions!$B$28</f>
        <v/>
      </c>
    </row>
    <row r="9">
      <c r="A9" s="3" t="inlineStr">
        <is>
          <t>EBIT</t>
        </is>
      </c>
      <c r="B9" s="21">
        <f>B7-B8</f>
        <v/>
      </c>
      <c r="C9" s="21">
        <f>C7-C8</f>
        <v/>
      </c>
      <c r="D9" s="21">
        <f>D7-D8</f>
        <v/>
      </c>
      <c r="E9" s="21">
        <f>E7-E8</f>
        <v/>
      </c>
      <c r="F9" s="21">
        <f>F7-F8</f>
        <v/>
      </c>
    </row>
    <row r="10">
      <c r="A10" s="3" t="inlineStr">
        <is>
          <t>Tax rate</t>
        </is>
      </c>
      <c r="B10" s="16">
        <f>Assumptions!$B$9</f>
        <v/>
      </c>
      <c r="C10" s="16">
        <f>Assumptions!$B$9</f>
        <v/>
      </c>
      <c r="D10" s="16">
        <f>Assumptions!$B$9</f>
        <v/>
      </c>
      <c r="E10" s="16">
        <f>Assumptions!$B$9</f>
        <v/>
      </c>
      <c r="F10" s="16">
        <f>Assumptions!$B$9</f>
        <v/>
      </c>
    </row>
    <row r="11">
      <c r="A11" s="3" t="inlineStr">
        <is>
          <t>Less: Income tax</t>
        </is>
      </c>
      <c r="B11" s="21">
        <f>B9*B10</f>
        <v/>
      </c>
      <c r="C11" s="21">
        <f>C9*C10</f>
        <v/>
      </c>
      <c r="D11" s="21">
        <f>D9*D10</f>
        <v/>
      </c>
      <c r="E11" s="21">
        <f>E9*E10</f>
        <v/>
      </c>
      <c r="F11" s="21">
        <f>F9*F10</f>
        <v/>
      </c>
    </row>
    <row r="12">
      <c r="A12" s="3" t="inlineStr">
        <is>
          <t>NOPAT</t>
        </is>
      </c>
      <c r="B12" s="21">
        <f>B9-B11</f>
        <v/>
      </c>
      <c r="C12" s="21">
        <f>C9-C11</f>
        <v/>
      </c>
      <c r="D12" s="21">
        <f>D9-D11</f>
        <v/>
      </c>
      <c r="E12" s="21">
        <f>E9-E11</f>
        <v/>
      </c>
      <c r="F12" s="21">
        <f>F9-F11</f>
        <v/>
      </c>
    </row>
    <row r="13">
      <c r="A13" s="3" t="inlineStr">
        <is>
          <t>Add: Stock-based compensation</t>
        </is>
      </c>
      <c r="B13" s="21">
        <f>B4*Assumptions!B$29</f>
        <v/>
      </c>
      <c r="C13" s="21">
        <f>C4*Assumptions!C$29</f>
        <v/>
      </c>
      <c r="D13" s="21">
        <f>D4*Assumptions!D$29</f>
        <v/>
      </c>
      <c r="E13" s="21">
        <f>E4*Assumptions!E$29</f>
        <v/>
      </c>
      <c r="F13" s="21">
        <f>F4*Assumptions!F$29</f>
        <v/>
      </c>
    </row>
    <row r="14">
      <c r="A14" s="3" t="inlineStr">
        <is>
          <t>Less: Capital expenditures</t>
        </is>
      </c>
      <c r="B14" s="21">
        <f>B4*Assumptions!$B$30</f>
        <v/>
      </c>
      <c r="C14" s="21">
        <f>C4*Assumptions!$B$30</f>
        <v/>
      </c>
      <c r="D14" s="21">
        <f>D4*Assumptions!$B$30</f>
        <v/>
      </c>
      <c r="E14" s="21">
        <f>E4*Assumptions!$B$30</f>
        <v/>
      </c>
      <c r="F14" s="21">
        <f>F4*Assumptions!$B$30</f>
        <v/>
      </c>
    </row>
    <row r="15">
      <c r="A15" s="3" t="inlineStr">
        <is>
          <t>Less: Change in net working capital</t>
        </is>
      </c>
      <c r="B15" s="21">
        <f>(B4-Historicals!$E$4)*Assumptions!$B$31</f>
        <v/>
      </c>
      <c r="C15" s="21">
        <f>(C4-B4)*Assumptions!$B$31</f>
        <v/>
      </c>
      <c r="D15" s="21">
        <f>(D4-C4)*Assumptions!$B$31</f>
        <v/>
      </c>
      <c r="E15" s="21">
        <f>(E4-D4)*Assumptions!$B$31</f>
        <v/>
      </c>
      <c r="F15" s="21">
        <f>(F4-E4)*Assumptions!$B$31</f>
        <v/>
      </c>
    </row>
    <row r="16">
      <c r="A16" s="3" t="inlineStr">
        <is>
          <t>Unlevered free cash flow</t>
        </is>
      </c>
      <c r="B16" s="21">
        <f>B12+B8+B13-B14-B15</f>
        <v/>
      </c>
      <c r="C16" s="21">
        <f>C12+C8+C13-C14-C15</f>
        <v/>
      </c>
      <c r="D16" s="21">
        <f>D12+D8+D13-D14-D15</f>
        <v/>
      </c>
      <c r="E16" s="21">
        <f>E12+E8+E13-E14-E15</f>
        <v/>
      </c>
      <c r="F16" s="21">
        <f>F12+F8+F13-F14-F15</f>
        <v/>
      </c>
    </row>
    <row r="17">
      <c r="A17" s="3" t="inlineStr">
        <is>
          <t>Discount factor</t>
        </is>
      </c>
      <c r="B17" s="22">
        <f>1/(1+Assumptions!$B$17)^1</f>
        <v/>
      </c>
      <c r="C17" s="22">
        <f>1/(1+Assumptions!$B$17)^2</f>
        <v/>
      </c>
      <c r="D17" s="22">
        <f>1/(1+Assumptions!$B$17)^3</f>
        <v/>
      </c>
      <c r="E17" s="22">
        <f>1/(1+Assumptions!$B$17)^4</f>
        <v/>
      </c>
      <c r="F17" s="22">
        <f>1/(1+Assumptions!$B$17)^5</f>
        <v/>
      </c>
    </row>
    <row r="18">
      <c r="A18" s="3" t="inlineStr">
        <is>
          <t>Present value of FCF</t>
        </is>
      </c>
      <c r="B18" s="21">
        <f>B16*B17</f>
        <v/>
      </c>
      <c r="C18" s="21">
        <f>C16*C17</f>
        <v/>
      </c>
      <c r="D18" s="21">
        <f>D16*D17</f>
        <v/>
      </c>
      <c r="E18" s="21">
        <f>E16*E17</f>
        <v/>
      </c>
      <c r="F18" s="21">
        <f>F16*F17</f>
        <v/>
      </c>
    </row>
    <row r="19">
      <c r="A19" s="7" t="inlineStr">
        <is>
          <t>Sum of PV of FCF</t>
        </is>
      </c>
      <c r="B19" s="21">
        <f>SUM(B18:F18)</f>
        <v/>
      </c>
    </row>
    <row r="20">
      <c r="A20" s="3" t="inlineStr">
        <is>
          <t>Terminal value</t>
        </is>
      </c>
      <c r="B20" s="21">
        <f>F16*(1+Assumptions!$B$34)/(Assumptions!$B$17-Assumptions!$B$34)</f>
        <v/>
      </c>
    </row>
    <row r="21">
      <c r="A21" s="3" t="inlineStr">
        <is>
          <t>PV of terminal value</t>
        </is>
      </c>
      <c r="B21" s="21">
        <f>B20/(1+Assumptions!$B$17)^5</f>
        <v/>
      </c>
    </row>
    <row r="22">
      <c r="A22" s="7" t="inlineStr">
        <is>
          <t>Enterprise value</t>
        </is>
      </c>
      <c r="B22" s="21">
        <f>B19+B21</f>
        <v/>
      </c>
    </row>
    <row r="23">
      <c r="A23" s="3" t="inlineStr">
        <is>
          <t>Less: Net debt (add: net cash)</t>
        </is>
      </c>
      <c r="B23" s="21">
        <f>Assumptions!$B$35</f>
        <v/>
      </c>
    </row>
    <row r="24">
      <c r="A24" s="7" t="inlineStr">
        <is>
          <t>Equity value</t>
        </is>
      </c>
      <c r="B24" s="21">
        <f>B22-B23</f>
        <v/>
      </c>
    </row>
    <row r="25">
      <c r="A25" s="3" t="inlineStr">
        <is>
          <t>Shares outstanding (M)</t>
        </is>
      </c>
      <c r="B25" s="21">
        <f>Assumptions!$B$36</f>
        <v/>
      </c>
    </row>
    <row r="26">
      <c r="A26" s="10" t="inlineStr">
        <is>
          <t>Implied value per share ($)</t>
        </is>
      </c>
      <c r="B26" s="23">
        <f>B24/B25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60" customWidth="1" min="6" max="6"/>
  </cols>
  <sheetData>
    <row r="1" ht="24" customHeight="1">
      <c r="A1" s="1" t="inlineStr">
        <is>
          <t>Comparable companies — AAPL vs Consumer Tech peers</t>
        </is>
      </c>
    </row>
    <row r="2" ht="18" customHeight="1">
      <c r="A2" s="2" t="inlineStr">
        <is>
          <t>Market data as of Oct 16, 2026 closes (Yahoo Finance). $ millions, except price and per-share.</t>
        </is>
      </c>
    </row>
    <row r="3">
      <c r="A3" s="20" t="inlineStr"/>
      <c r="B3" s="20" t="inlineStr">
        <is>
          <t>AAPL</t>
        </is>
      </c>
      <c r="C3" s="20" t="inlineStr">
        <is>
          <t>AMZN</t>
        </is>
      </c>
      <c r="D3" s="20" t="inlineStr">
        <is>
          <t>META</t>
        </is>
      </c>
      <c r="E3" s="20" t="inlineStr">
        <is>
          <t>GOOGL</t>
        </is>
      </c>
    </row>
    <row r="4">
      <c r="A4" s="3" t="inlineStr">
        <is>
          <t>Price ($)</t>
        </is>
      </c>
      <c r="B4" s="23" t="n">
        <v>343.46</v>
      </c>
      <c r="C4" s="23" t="n">
        <v>250</v>
      </c>
      <c r="D4" s="23" t="n">
        <v>709.33</v>
      </c>
      <c r="E4" s="23" t="n">
        <v>340.59</v>
      </c>
    </row>
    <row r="5">
      <c r="A5" s="3" t="inlineStr">
        <is>
          <t>Market cap ($M)</t>
        </is>
      </c>
      <c r="B5" s="21" t="n">
        <v>5012536</v>
      </c>
      <c r="C5" s="21" t="n">
        <v>2696578</v>
      </c>
      <c r="D5" s="21" t="n">
        <v>1808792</v>
      </c>
      <c r="E5" s="21" t="n">
        <v>4165416</v>
      </c>
    </row>
    <row r="6">
      <c r="A6" s="3" t="inlineStr">
        <is>
          <t>Enterprise value ($M)</t>
        </is>
      </c>
      <c r="B6" s="21" t="n">
        <v>5034481</v>
      </c>
      <c r="C6" s="21" t="n">
        <v>2763377</v>
      </c>
      <c r="D6" s="21" t="n">
        <v>1830850</v>
      </c>
      <c r="E6" s="21" t="n">
        <v>4035698</v>
      </c>
    </row>
    <row r="7">
      <c r="A7" s="3" t="inlineStr">
        <is>
          <t>Revenue, TTM ($M)</t>
        </is>
      </c>
      <c r="B7" s="21" t="n">
        <v>466823</v>
      </c>
      <c r="C7" s="21" t="n">
        <v>775680</v>
      </c>
      <c r="D7" s="21" t="n">
        <v>228247</v>
      </c>
      <c r="E7" s="21" t="n">
        <v>445866</v>
      </c>
    </row>
    <row r="8">
      <c r="A8" s="3" t="inlineStr">
        <is>
          <t>EBITDA, TTM ($M)</t>
        </is>
      </c>
      <c r="B8" s="21" t="n">
        <v>167959</v>
      </c>
      <c r="C8" s="21" t="n">
        <v>168912</v>
      </c>
      <c r="D8" s="21" t="n">
        <v>109655</v>
      </c>
      <c r="E8" s="21" t="n">
        <v>173164</v>
      </c>
    </row>
    <row r="9">
      <c r="A9" s="3" t="inlineStr">
        <is>
          <t>Trailing EPS ($)</t>
        </is>
      </c>
      <c r="B9" s="23" t="n">
        <v>8.720000000000001</v>
      </c>
      <c r="C9" s="23" t="n">
        <v>12.43</v>
      </c>
      <c r="D9" s="23" t="n">
        <v>26.54</v>
      </c>
      <c r="E9" s="23" t="n">
        <v>19.93</v>
      </c>
    </row>
    <row r="10">
      <c r="A10" s="3" t="inlineStr">
        <is>
          <t>Forward EPS ($)</t>
        </is>
      </c>
      <c r="B10" s="23" t="n">
        <v>9.57785</v>
      </c>
      <c r="C10" s="23" t="n">
        <v>10.44315</v>
      </c>
      <c r="D10" s="23" t="n">
        <v>34.62667</v>
      </c>
      <c r="E10" s="23" t="n">
        <v>15.29162</v>
      </c>
    </row>
    <row r="11">
      <c r="A11" s="3" t="inlineStr">
        <is>
          <t>EV / Revenue</t>
        </is>
      </c>
      <c r="B11" s="24">
        <f>B6/B7</f>
        <v/>
      </c>
      <c r="C11" s="24">
        <f>C6/C7</f>
        <v/>
      </c>
      <c r="D11" s="24">
        <f>D6/D7</f>
        <v/>
      </c>
      <c r="E11" s="24">
        <f>E6/E7</f>
        <v/>
      </c>
    </row>
    <row r="12">
      <c r="A12" s="3" t="inlineStr">
        <is>
          <t>EV / EBITDA</t>
        </is>
      </c>
      <c r="B12" s="24">
        <f>B6/B8</f>
        <v/>
      </c>
      <c r="C12" s="24">
        <f>C6/C8</f>
        <v/>
      </c>
      <c r="D12" s="24">
        <f>D6/D8</f>
        <v/>
      </c>
      <c r="E12" s="24">
        <f>E6/E8</f>
        <v/>
      </c>
    </row>
    <row r="13">
      <c r="A13" s="3" t="inlineStr">
        <is>
          <t>Trailing P/E</t>
        </is>
      </c>
      <c r="B13" s="24">
        <f>B4/B9</f>
        <v/>
      </c>
      <c r="C13" s="24">
        <f>C4/C9</f>
        <v/>
      </c>
      <c r="D13" s="24">
        <f>D4/D9</f>
        <v/>
      </c>
      <c r="E13" s="24">
        <f>E4/E9</f>
        <v/>
      </c>
    </row>
    <row r="14">
      <c r="A14" s="3" t="inlineStr">
        <is>
          <t>Forward P/E</t>
        </is>
      </c>
      <c r="B14" s="24">
        <f>B4/B10</f>
        <v/>
      </c>
      <c r="C14" s="24">
        <f>C4/C10</f>
        <v/>
      </c>
      <c r="D14" s="24">
        <f>D4/D10</f>
        <v/>
      </c>
      <c r="E14" s="24">
        <f>E4/E10</f>
        <v/>
      </c>
    </row>
    <row r="16">
      <c r="A16" s="10" t="inlineStr">
        <is>
          <t>AAPL implied valuation from peer medians</t>
        </is>
      </c>
    </row>
    <row r="17">
      <c r="A17" s="3" t="inlineStr">
        <is>
          <t>Median peer EV / Revenue</t>
        </is>
      </c>
      <c r="B17" s="24">
        <f>MEDIAN(C11:E11)</f>
        <v/>
      </c>
    </row>
    <row r="18">
      <c r="A18" s="3" t="inlineStr">
        <is>
          <t>Implied EV ($M)</t>
        </is>
      </c>
      <c r="B18" s="21">
        <f>B17*B7</f>
        <v/>
      </c>
    </row>
    <row r="19">
      <c r="A19" s="3" t="inlineStr">
        <is>
          <t>Less: Net debt ($M)</t>
        </is>
      </c>
      <c r="B19" s="21">
        <f>Assumptions!$B$35</f>
        <v/>
      </c>
    </row>
    <row r="20">
      <c r="A20" s="7" t="inlineStr">
        <is>
          <t>Implied per share — EV/Revenue ($)</t>
        </is>
      </c>
      <c r="B20" s="23">
        <f>(B18-B19)/Assumptions!$B$36</f>
        <v/>
      </c>
    </row>
    <row r="22">
      <c r="A22" s="3" t="inlineStr">
        <is>
          <t>Median peer EV / EBITDA</t>
        </is>
      </c>
      <c r="B22" s="24">
        <f>MEDIAN(C12:E12)</f>
        <v/>
      </c>
    </row>
    <row r="23">
      <c r="A23" s="3" t="inlineStr">
        <is>
          <t>Implied EV ($M)</t>
        </is>
      </c>
      <c r="B23" s="21">
        <f>B22*B8</f>
        <v/>
      </c>
    </row>
    <row r="24">
      <c r="A24" s="7" t="inlineStr">
        <is>
          <t>Implied per share — EV/EBITDA ($)</t>
        </is>
      </c>
      <c r="B24" s="23">
        <f>(B23-Assumptions!$B$35)/Assumptions!$B$36</f>
        <v/>
      </c>
    </row>
    <row r="26">
      <c r="A26" s="3" t="inlineStr">
        <is>
          <t>Median peer forward P/E</t>
        </is>
      </c>
      <c r="B26" s="24">
        <f>MEDIAN(C14:E14)</f>
        <v/>
      </c>
    </row>
    <row r="27">
      <c r="A27" s="3" t="inlineStr">
        <is>
          <t>AAPL forward EPS ($)</t>
        </is>
      </c>
      <c r="B27" s="23">
        <f>B10</f>
        <v/>
      </c>
    </row>
    <row r="28">
      <c r="A28" s="10" t="inlineStr">
        <is>
          <t>Implied per share — forward P/E ($)</t>
        </is>
      </c>
      <c r="B28" s="23">
        <f>B26*B27</f>
        <v/>
      </c>
      <c r="C28" s="25" t="inlineStr">
        <is>
          <t>Forward P/E is the operative lens: EV multiples blend hardware, ads, and cloud mixes.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10" customWidth="1" min="2" max="2"/>
    <col width="12" customWidth="1" min="3" max="3"/>
    <col width="10" customWidth="1" min="4" max="4"/>
  </cols>
  <sheetData>
    <row r="1" ht="24" customHeight="1">
      <c r="A1" s="1" t="inlineStr">
        <is>
          <t>Verification appendix</t>
        </is>
      </c>
    </row>
    <row r="2" ht="18" customHeight="1">
      <c r="A2" s="2" t="inlineStr">
        <is>
          <t>Tie-outs and data provenance. Every [DATA] input is sourced; every [JUDGMENT] input carries a rationale on Assumptions.</t>
        </is>
      </c>
    </row>
    <row r="3">
      <c r="A3" s="20" t="inlineStr">
        <is>
          <t>Check</t>
        </is>
      </c>
      <c r="B3" s="20" t="inlineStr">
        <is>
          <t>Detail</t>
        </is>
      </c>
      <c r="C3" s="20" t="inlineStr">
        <is>
          <t>Status</t>
        </is>
      </c>
      <c r="D3" s="20" t="n"/>
    </row>
    <row r="4" ht="30" customHeight="1">
      <c r="A4" s="26" t="inlineStr">
        <is>
          <t>Net income ties across statements</t>
        </is>
      </c>
      <c r="B4" s="8" t="inlineStr">
        <is>
          <t>Income-statement net income = cash-flow starting net income for FY2022–2025 (max diff $0.0M)</t>
        </is>
      </c>
      <c r="C4" s="27" t="inlineStr">
        <is>
          <t>PASS</t>
        </is>
      </c>
    </row>
    <row r="5" ht="30" customHeight="1">
      <c r="A5" s="26" t="inlineStr">
        <is>
          <t>Revenue sourced from filings</t>
        </is>
      </c>
      <c r="B5" s="8" t="inlineStr">
        <is>
          <t>FY2022–2025 total revenue 394,328 / 383,285 / 391,035 / 416,161 ($M), fiscal years ended September (Yahoo Finance annual income statement)</t>
        </is>
      </c>
      <c r="C5" s="27" t="inlineStr">
        <is>
          <t>PASS</t>
        </is>
      </c>
    </row>
    <row r="6" ht="30" customHeight="1">
      <c r="A6" s="26" t="inlineStr">
        <is>
          <t>Share count</t>
        </is>
      </c>
      <c r="B6" s="8" t="inlineStr">
        <is>
          <t>14,594.2M outstanding (Yahoo Finance, Oct 2026); stockanalysis.com 14.59B; market cap ÷ price implies 14.58B — all consistent</t>
        </is>
      </c>
      <c r="C6" s="27" t="inlineStr">
        <is>
          <t>PASS</t>
        </is>
      </c>
    </row>
    <row r="7" ht="30" customHeight="1">
      <c r="A7" s="26" t="inlineStr">
        <is>
          <t>Net debt bridge</t>
        </is>
      </c>
      <c r="B7" s="8" t="inlineStr">
        <is>
          <t>Q3 FY2026 balance sheet (Jun 2026): total debt $84,344M less cash $39,544M and ST investments $22,855M = net debt $21,945M</t>
        </is>
      </c>
      <c r="C7" s="27" t="inlineStr">
        <is>
          <t>PASS</t>
        </is>
      </c>
    </row>
    <row r="8" ht="30" customHeight="1">
      <c r="A8" s="26" t="inlineStr">
        <is>
          <t>Beta</t>
        </is>
      </c>
      <c r="B8" s="8" t="inlineStr">
        <is>
          <t>1.07 (Yahoo Finance 1.069, 2026-10-19); cross-checked 1.07 (stockanalysis.com) and 1.07 (MarketBeat)</t>
        </is>
      </c>
      <c r="C8" s="27" t="inlineStr">
        <is>
          <t>PASS</t>
        </is>
      </c>
    </row>
    <row r="9" ht="30" customHeight="1">
      <c r="A9" s="26" t="inlineStr">
        <is>
          <t>Risk-free rate</t>
        </is>
      </c>
      <c r="B9" s="8" t="inlineStr">
        <is>
          <t>US 10Y 5.085% on 2026-10-19 (Reuters); used 5.1% (shared framework)</t>
        </is>
      </c>
      <c r="C9" s="27" t="inlineStr">
        <is>
          <t>PASS</t>
        </is>
      </c>
    </row>
    <row r="10" ht="30" customHeight="1">
      <c r="A10" s="26" t="inlineStr">
        <is>
          <t>Comps market data as-of</t>
        </is>
      </c>
      <c r="B10" s="8" t="inlineStr">
        <is>
          <t>AAPL / AMZN / META / GOOGL Oct 16, 2026 closes from Yahoo Finance 1-mo history; EVs = Oct-16 market cap + latest-quarter net debt</t>
        </is>
      </c>
      <c r="C10" s="27" t="inlineStr">
        <is>
          <t>PASS</t>
        </is>
      </c>
    </row>
    <row r="11" ht="30" customHeight="1">
      <c r="A11" s="26" t="inlineStr">
        <is>
          <t>FCF bridge reconciles</t>
        </is>
      </c>
      <c r="B11" s="8" t="inlineStr">
        <is>
          <t>Formula check: EV = sum of PV of FCF + PV of terminal value</t>
        </is>
      </c>
      <c r="C11" s="27">
        <f>IF(ABS(DCF_Base!B22-(DCF_Base!B19+DCF_Base!B21))&lt;0.5,"PASS","FAIL")</f>
        <v/>
      </c>
    </row>
    <row r="12" ht="30" customHeight="1">
      <c r="A12" s="26" t="inlineStr">
        <is>
          <t>Per-share arithmetic</t>
        </is>
      </c>
      <c r="B12" s="8" t="inlineStr">
        <is>
          <t>Formula check: per-share = equity value / shares</t>
        </is>
      </c>
      <c r="C12" s="27">
        <f>IF(ABS(DCF_Base!B26-DCF_Base!B24/DCF_Base!B25)&lt;0.01,"PASS","FAIL")</f>
        <v/>
      </c>
    </row>
    <row r="13" ht="30" customHeight="1">
      <c r="A13" s="26" t="inlineStr">
        <is>
          <t>DCF vs market gap is explainable</t>
        </is>
      </c>
      <c r="B13" s="8" t="inlineStr">
        <is>
          <t>Base per-share trails $343.46 because the quote implies ~7.3% perpetual FCF growth (my arithmetic); FCF was $111B in FY2022 and $99B in FY2025 — the market prices a growth step-change the cash flows have not shown</t>
        </is>
      </c>
      <c r="C13" s="27" t="inlineStr">
        <is>
          <t>PASS</t>
        </is>
      </c>
    </row>
    <row r="14" ht="30" customHeight="1">
      <c r="A14" s="26" t="inlineStr">
        <is>
          <t>Fiscal year-ends in September</t>
        </is>
      </c>
      <c r="B14" s="8" t="inlineStr">
        <is>
          <t>Yahoo annual columns are fiscal years ended Sep 30; FY2026 (ended Sep 2026) not yet filed as of Oct 19 — forecast starts from FY2025 actuals; Q4 FY2026 earnings due Nov 2, 2026</t>
        </is>
      </c>
      <c r="C14" s="27" t="inlineStr">
        <is>
          <t>PASS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2" customWidth="1" min="2" max="2"/>
    <col width="60" customWidth="1" min="3" max="3"/>
    <col width="14" customWidth="1" min="4" max="4"/>
    <col width="44" customWidth="1" min="5" max="5"/>
  </cols>
  <sheetData>
    <row r="1" ht="24" customHeight="1">
      <c r="A1" s="1" t="inlineStr">
        <is>
          <t>Sources</t>
        </is>
      </c>
    </row>
    <row r="2" ht="18" customHeight="1">
      <c r="A2" s="2" t="inlineStr">
        <is>
          <t>Full URLs and access dates for every external input.</t>
        </is>
      </c>
    </row>
    <row r="3">
      <c r="A3" s="20" t="inlineStr">
        <is>
          <t>#</t>
        </is>
      </c>
      <c r="B3" s="20" t="inlineStr">
        <is>
          <t>Source</t>
        </is>
      </c>
      <c r="C3" s="20" t="inlineStr">
        <is>
          <t>URL</t>
        </is>
      </c>
      <c r="D3" s="20" t="inlineStr">
        <is>
          <t>Accessed</t>
        </is>
      </c>
      <c r="E3" s="20" t="inlineStr">
        <is>
          <t>Used for</t>
        </is>
      </c>
    </row>
    <row r="4" ht="28" customHeight="1">
      <c r="A4" s="28" t="n">
        <v>1</v>
      </c>
      <c r="B4" s="8" t="inlineStr">
        <is>
          <t>Yahoo Finance — AAPL quote &amp; financials</t>
        </is>
      </c>
      <c r="C4" s="29" t="inlineStr">
        <is>
          <t>https://finance.yahoo.com/quote/AAPL</t>
        </is>
      </c>
      <c r="D4" s="28" t="inlineStr">
        <is>
          <t>2026-10-19</t>
        </is>
      </c>
      <c r="E4" s="8" t="inlineStr">
        <is>
          <t>Price, beta, shares, annual/quarterly statements, Oct-16 close</t>
        </is>
      </c>
    </row>
    <row r="5" ht="28" customHeight="1">
      <c r="A5" s="28" t="n">
        <v>2</v>
      </c>
      <c r="B5" s="8" t="inlineStr">
        <is>
          <t>Yahoo Finance — AMZN</t>
        </is>
      </c>
      <c r="C5" s="29" t="inlineStr">
        <is>
          <t>https://finance.yahoo.com/quote/AMZN</t>
        </is>
      </c>
      <c r="D5" s="28" t="inlineStr">
        <is>
          <t>2026-10-19</t>
        </is>
      </c>
      <c r="E5" s="8" t="inlineStr">
        <is>
          <t>Comps market data</t>
        </is>
      </c>
    </row>
    <row r="6" ht="28" customHeight="1">
      <c r="A6" s="28" t="n">
        <v>3</v>
      </c>
      <c r="B6" s="8" t="inlineStr">
        <is>
          <t>Yahoo Finance — META</t>
        </is>
      </c>
      <c r="C6" s="29" t="inlineStr">
        <is>
          <t>https://finance.yahoo.com/quote/META</t>
        </is>
      </c>
      <c r="D6" s="28" t="inlineStr">
        <is>
          <t>2026-10-19</t>
        </is>
      </c>
      <c r="E6" s="8" t="inlineStr">
        <is>
          <t>Comps market data</t>
        </is>
      </c>
    </row>
    <row r="7" ht="28" customHeight="1">
      <c r="A7" s="28" t="n">
        <v>4</v>
      </c>
      <c r="B7" s="8" t="inlineStr">
        <is>
          <t>Yahoo Finance — GOOGL</t>
        </is>
      </c>
      <c r="C7" s="29" t="inlineStr">
        <is>
          <t>https://finance.yahoo.com/quote/GOOGL</t>
        </is>
      </c>
      <c r="D7" s="28" t="inlineStr">
        <is>
          <t>2026-10-19</t>
        </is>
      </c>
      <c r="E7" s="8" t="inlineStr">
        <is>
          <t>Comps market data</t>
        </is>
      </c>
    </row>
    <row r="8" ht="28" customHeight="1">
      <c r="A8" s="28" t="n">
        <v>5</v>
      </c>
      <c r="B8" s="8" t="inlineStr">
        <is>
          <t>Reuters — 10Y yield 5.085% on Oct 19, 2026</t>
        </is>
      </c>
      <c r="C8" s="29" t="inlineStr">
        <is>
          <t>https://www.reuters.com/business/wall-st-futures-climb-ai-stocks-rebound-oil-yields-fall-2026-10-19/</t>
        </is>
      </c>
      <c r="D8" s="28" t="inlineStr">
        <is>
          <t>2026-10-19</t>
        </is>
      </c>
      <c r="E8" s="8" t="inlineStr">
        <is>
          <t>Risk-free rate</t>
        </is>
      </c>
    </row>
    <row r="9" ht="28" customHeight="1">
      <c r="A9" s="28" t="n">
        <v>6</v>
      </c>
      <c r="B9" s="8" t="inlineStr">
        <is>
          <t>stockanalysis.com — AAPL overview</t>
        </is>
      </c>
      <c r="C9" s="29" t="inlineStr">
        <is>
          <t>https://stockanalysis.com/stocks/aapl/</t>
        </is>
      </c>
      <c r="D9" s="28" t="inlineStr">
        <is>
          <t>2026-10-19</t>
        </is>
      </c>
      <c r="E9" s="8" t="inlineStr">
        <is>
          <t>Beta (1.07), shares outstanding (14.59B), Oct-16 price cross-check</t>
        </is>
      </c>
    </row>
    <row r="10" ht="28" customHeight="1">
      <c r="A10" s="28" t="n">
        <v>7</v>
      </c>
      <c r="B10" s="8" t="inlineStr">
        <is>
          <t>fourweekmba — Apple revenue model (Oct 2026)</t>
        </is>
      </c>
      <c r="C10" s="29" t="inlineStr">
        <is>
          <t>https://fourweekmba.com/apple-business-model/</t>
        </is>
      </c>
      <c r="D10" s="28" t="inlineStr">
        <is>
          <t>2026-10-19</t>
        </is>
      </c>
      <c r="E10" s="8" t="inlineStr">
        <is>
          <t>FY2025 category split: iPhone $209.6B, Services $109.2B at 75.4% gross margin</t>
        </is>
      </c>
    </row>
    <row r="11" ht="28" customHeight="1">
      <c r="A11" s="28" t="n">
        <v>8</v>
      </c>
      <c r="B11" s="8" t="inlineStr">
        <is>
          <t>SQ Magazine — Apple sales statistics</t>
        </is>
      </c>
      <c r="C11" s="29" t="inlineStr">
        <is>
          <t>https://sqmagazine.co.uk/apple-sales-statistics/</t>
        </is>
      </c>
      <c r="D11" s="28" t="inlineStr">
        <is>
          <t>2026-10-19</t>
        </is>
      </c>
      <c r="E11" s="8" t="inlineStr">
        <is>
          <t>FY2025 category table; Q1 FY2026 $143.8B quarter; Dec-quarter guide 10–12%</t>
        </is>
      </c>
    </row>
  </sheetData>
  <mergeCells count="2">
    <mergeCell ref="A1:D1"/>
    <mergeCell ref="A2:D2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2026-10-19T15:35:44+00:00Z</dcterms:created>
  <dcterms:modified xmlns:dcterms="http://purl.org/dc/terms/" xmlns:xsi="http://www.w3.org/2001/XMLSchema-instance" xsi:type="dcterms:W3CDTF">2026-10-19T15:35:44+00:00Z</dcterms:modified>
</cp:coreProperties>
</file>