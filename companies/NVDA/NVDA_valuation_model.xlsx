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NVDA" TargetMode="External" Id="rId1"/><Relationship Type="http://schemas.openxmlformats.org/officeDocument/2006/relationships/hyperlink" Target="https://www.marketbeat.com/stocks/NASDAQ/NVDA/?Vote=1" TargetMode="External" Id="rId2"/><Relationship Type="http://schemas.openxmlformats.org/officeDocument/2006/relationships/hyperlink" Target="https://www.reuters.com/business/wall-st-futures-climb-ai-stocks-rebound-oil-yields-fall-2026-10-1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NVIDIA Corporation (NASDAQ: NVDA)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214.13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AI infrastructure king at a price that demands a flawless decade: even the bull case sits ~26% below the quote in a 5.1% rate world.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Financials from Yahoo Finance annual statements (FY2023–FY2026 (fiscal year ends January))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AVGO, AMD, ALAB: EV/Revenue, EV/EBITDA, P/E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(NVDA)</t>
        </is>
      </c>
      <c r="B6" s="15" t="n">
        <v>2.22</v>
      </c>
      <c r="C6" s="12" t="inlineStr">
        <is>
          <t>[DATA]</t>
        </is>
      </c>
      <c r="D6" s="13" t="inlineStr">
        <is>
          <t>Yahoo Finance 2.216 (2026-10-19); cross-checked MarketBeat 2.22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0.045</v>
      </c>
      <c r="C8" s="14" t="inlineStr">
        <is>
          <t>[JUDGMENT]</t>
        </is>
      </c>
      <c r="D8" s="13" t="inlineStr">
        <is>
          <t>AA-grade credit; through-cycle new-issue estimate (new debt issued in H1 FY2027)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FY2026 effective rate was ~15% (Singapore/FDII mix) — model is conservative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5278775.4</v>
      </c>
      <c r="C11" s="12" t="inlineStr">
        <is>
          <t>[DATA]</t>
        </is>
      </c>
      <c r="D11" s="13" t="inlineStr">
        <is>
          <t>Yahoo Finance 2026-10-19 ($5.28T); price × shares cross-check: $5.17T</t>
        </is>
      </c>
    </row>
    <row r="12">
      <c r="A12" s="3" t="inlineStr">
        <is>
          <t>Book value of debt ($M)</t>
        </is>
      </c>
      <c r="B12" s="18" t="n">
        <v>38351</v>
      </c>
      <c r="C12" s="12" t="inlineStr">
        <is>
          <t>[DATA]</t>
        </is>
      </c>
      <c r="D12" s="13" t="inlineStr">
        <is>
          <t>Q2 FY2027 balance sheet (2026-07-31); +$26B vs Q1 on new issuance — verified vs info totalDebt $38.9B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(FY2027–FY2031 (NVDA fiscal year ends in January))</t>
        </is>
      </c>
    </row>
    <row r="20">
      <c r="B20" s="19" t="n">
        <v>2027</v>
      </c>
      <c r="C20" s="19" t="n">
        <v>2028</v>
      </c>
      <c r="D20" s="19" t="n">
        <v>2029</v>
      </c>
      <c r="E20" s="19" t="n">
        <v>2030</v>
      </c>
      <c r="F20" s="19" t="n">
        <v>2031</v>
      </c>
    </row>
    <row r="21">
      <c r="A21" s="3" t="inlineStr">
        <is>
          <t>Revenue growth — base</t>
        </is>
      </c>
      <c r="B21" s="11" t="n">
        <v>0.45</v>
      </c>
      <c r="C21" s="11" t="n">
        <v>0.35</v>
      </c>
      <c r="D21" s="11" t="n">
        <v>0.28</v>
      </c>
      <c r="E21" s="11" t="n">
        <v>0.22</v>
      </c>
      <c r="F21" s="11" t="n">
        <v>0.18</v>
      </c>
      <c r="G21" s="14" t="inlineStr">
        <is>
          <t>[JUDGMENT]</t>
        </is>
      </c>
      <c r="H21" s="13" t="inlineStr">
        <is>
          <t>Q2 FY2027 revenue +105.9% YoY ($96.2B); taper from FY2026 +65.4%</t>
        </is>
      </c>
    </row>
    <row r="22">
      <c r="A22" s="3" t="inlineStr">
        <is>
          <t>Revenue growth — bull</t>
        </is>
      </c>
      <c r="B22" s="11" t="n">
        <v>0.55</v>
      </c>
      <c r="C22" s="11" t="n">
        <v>0.42</v>
      </c>
      <c r="D22" s="11" t="n">
        <v>0.35</v>
      </c>
      <c r="E22" s="11" t="n">
        <v>0.3</v>
      </c>
      <c r="F22" s="11" t="n">
        <v>0.25</v>
      </c>
      <c r="G22" s="14" t="inlineStr">
        <is>
          <t>[JUDGMENT]</t>
        </is>
      </c>
      <c r="H22" s="13" t="inlineStr">
        <is>
          <t>Sustained AI datacenter supercycle; rack-scale platforms deepen attach</t>
        </is>
      </c>
    </row>
    <row r="23">
      <c r="A23" s="3" t="inlineStr">
        <is>
          <t>Revenue growth — bear</t>
        </is>
      </c>
      <c r="B23" s="11" t="n">
        <v>0.35</v>
      </c>
      <c r="C23" s="11" t="n">
        <v>0.25</v>
      </c>
      <c r="D23" s="11" t="n">
        <v>0.12</v>
      </c>
      <c r="E23" s="11" t="n">
        <v>-0.1</v>
      </c>
      <c r="F23" s="11" t="n">
        <v>0.15</v>
      </c>
      <c r="G23" s="14" t="inlineStr">
        <is>
          <t>[JUDGMENT]</t>
        </is>
      </c>
      <c r="H23" s="13" t="inlineStr">
        <is>
          <t>Semi down-cycle in FY2030 (−10%): datacenter digestion after years of &gt;100% growth</t>
        </is>
      </c>
    </row>
    <row r="24">
      <c r="A24" s="3" t="inlineStr">
        <is>
          <t>EBITDA margin — base</t>
        </is>
      </c>
      <c r="B24" s="11" t="n">
        <v>0.68</v>
      </c>
      <c r="C24" s="11" t="n">
        <v>0.68</v>
      </c>
      <c r="D24" s="11" t="n">
        <v>0.67</v>
      </c>
      <c r="E24" s="11" t="n">
        <v>0.66</v>
      </c>
      <c r="F24" s="11" t="n">
        <v>0.65</v>
      </c>
      <c r="G24" s="14" t="inlineStr">
        <is>
          <t>[JUDGMENT]</t>
        </is>
      </c>
      <c r="H24" s="13" t="inlineStr">
        <is>
          <t>FY2026 EBITDA margin 67.0%; mild normalization as mix broadens</t>
        </is>
      </c>
    </row>
    <row r="25">
      <c r="A25" s="3" t="inlineStr">
        <is>
          <t>EBITDA margin — bull</t>
        </is>
      </c>
      <c r="B25" s="11" t="n">
        <v>0.7</v>
      </c>
      <c r="C25" s="11" t="n">
        <v>0.7</v>
      </c>
      <c r="D25" s="11" t="n">
        <v>0.6899999999999999</v>
      </c>
      <c r="E25" s="11" t="n">
        <v>0.68</v>
      </c>
      <c r="F25" s="11" t="n">
        <v>0.67</v>
      </c>
      <c r="G25" s="14" t="inlineStr">
        <is>
          <t>[JUDGMENT]</t>
        </is>
      </c>
      <c r="H25" s="13" t="inlineStr">
        <is>
          <t>Faster operating leverage on networking/software mix</t>
        </is>
      </c>
    </row>
    <row r="26">
      <c r="A26" s="3" t="inlineStr">
        <is>
          <t>EBITDA margin — bear</t>
        </is>
      </c>
      <c r="B26" s="11" t="n">
        <v>0.64</v>
      </c>
      <c r="C26" s="11" t="n">
        <v>0.62</v>
      </c>
      <c r="D26" s="11" t="n">
        <v>0.58</v>
      </c>
      <c r="E26" s="11" t="n">
        <v>0.55</v>
      </c>
      <c r="F26" s="11" t="n">
        <v>0.5600000000000001</v>
      </c>
      <c r="G26" s="14" t="inlineStr">
        <is>
          <t>[JUDGMENT]</t>
        </is>
      </c>
      <c r="H26" s="13" t="inlineStr">
        <is>
          <t>Pricing pressure and under-utilization in the down year</t>
        </is>
      </c>
    </row>
    <row r="28">
      <c r="A28" s="3" t="inlineStr">
        <is>
          <t>D&amp;A (% of revenue)</t>
        </is>
      </c>
      <c r="B28" s="11" t="n">
        <v>0.015</v>
      </c>
      <c r="G28" s="14" t="inlineStr">
        <is>
          <t>[JUDGMENT]</t>
        </is>
      </c>
      <c r="H28" s="13" t="inlineStr">
        <is>
          <t>FY2026: 1.3% of revenue</t>
        </is>
      </c>
    </row>
    <row r="29">
      <c r="A29" s="3" t="inlineStr">
        <is>
          <t>Stock-based comp. (% of revenue)</t>
        </is>
      </c>
      <c r="B29" s="11" t="n">
        <v>0.025</v>
      </c>
      <c r="C29" s="11" t="n">
        <v>0.023</v>
      </c>
      <c r="D29" s="11" t="n">
        <v>0.02</v>
      </c>
      <c r="E29" s="11" t="n">
        <v>0.018</v>
      </c>
      <c r="F29" s="11" t="n">
        <v>0.015</v>
      </c>
      <c r="G29" s="14" t="inlineStr">
        <is>
          <t>[JUDGMENT]</t>
        </is>
      </c>
      <c r="H29" s="13" t="inlineStr">
        <is>
          <t>FY2026: 3.0% of revenue; declining with scale</t>
        </is>
      </c>
    </row>
    <row r="30">
      <c r="A30" s="3" t="inlineStr">
        <is>
          <t>Capex (% of revenue)</t>
        </is>
      </c>
      <c r="B30" s="11" t="n">
        <v>0.03</v>
      </c>
      <c r="G30" s="14" t="inlineStr">
        <is>
          <t>[JUDGMENT]</t>
        </is>
      </c>
      <c r="H30" s="13" t="inlineStr">
        <is>
          <t>FY2026: 2.8% of revenue (fabless model; test/infra capex)</t>
        </is>
      </c>
    </row>
    <row r="31">
      <c r="A31" s="3" t="inlineStr">
        <is>
          <t>Change in NWC (% of revenue growth)</t>
        </is>
      </c>
      <c r="B31" s="11" t="n">
        <v>0.05</v>
      </c>
      <c r="G31" s="14" t="inlineStr">
        <is>
          <t>[JUDGMENT]</t>
        </is>
      </c>
      <c r="H31" s="13" t="inlineStr">
        <is>
          <t>Receivables/inventory scale with semi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15908</v>
      </c>
      <c r="G35" s="12" t="inlineStr">
        <is>
          <t>[DATA]</t>
        </is>
      </c>
      <c r="H35" s="13" t="inlineStr">
        <is>
          <t>Q2 FY2027 (2026-07-31): total debt $38,351M less cash &amp; equivalents $22,443M</t>
        </is>
      </c>
    </row>
    <row r="36">
      <c r="A36" s="3" t="inlineStr">
        <is>
          <t>Diluted shares outstanding (M)</t>
        </is>
      </c>
      <c r="B36" s="18" t="n">
        <v>24147</v>
      </c>
      <c r="G36" s="12" t="inlineStr">
        <is>
          <t>[DATA]</t>
        </is>
      </c>
      <c r="H36" s="13" t="inlineStr">
        <is>
          <t>Yahoo Finance sharesOutstanding, Oct 2026 (FY2026 diluted weighted avg: 24,514M)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NVDA</t>
        </is>
      </c>
    </row>
    <row r="2" ht="18" customHeight="1">
      <c r="A2" s="2" t="inlineStr">
        <is>
          <t>$ millions. Source: Yahoo Finance annual statements (filing-derived), as of 2026-10-19. FY2022 column blank in the Yahoo Finance pull — excluded.</t>
        </is>
      </c>
    </row>
    <row r="3">
      <c r="A3" s="20" t="inlineStr"/>
      <c r="B3" s="20" t="n">
        <v>2023</v>
      </c>
      <c r="C3" s="20" t="n">
        <v>2024</v>
      </c>
      <c r="D3" s="20" t="n">
        <v>2025</v>
      </c>
      <c r="E3" s="20" t="n">
        <v>2026</v>
      </c>
    </row>
    <row r="4">
      <c r="A4" s="3" t="inlineStr">
        <is>
          <t>Total revenue</t>
        </is>
      </c>
      <c r="B4" s="21" t="n">
        <v>26974</v>
      </c>
      <c r="C4" s="21" t="n">
        <v>60922</v>
      </c>
      <c r="D4" s="21" t="n">
        <v>130497</v>
      </c>
      <c r="E4" s="21" t="n">
        <v>215938</v>
      </c>
    </row>
    <row r="5">
      <c r="A5" s="3" t="inlineStr">
        <is>
          <t>Gross profit</t>
        </is>
      </c>
      <c r="B5" s="21" t="n">
        <v>15356</v>
      </c>
      <c r="C5" s="21" t="n">
        <v>44301</v>
      </c>
      <c r="D5" s="21" t="n">
        <v>97858</v>
      </c>
      <c r="E5" s="21" t="n">
        <v>153463</v>
      </c>
    </row>
    <row r="6">
      <c r="A6" s="3" t="inlineStr">
        <is>
          <t>EBITDA</t>
        </is>
      </c>
      <c r="B6" s="21" t="n">
        <v>5986</v>
      </c>
      <c r="C6" s="21" t="n">
        <v>35583</v>
      </c>
      <c r="D6" s="21" t="n">
        <v>86137</v>
      </c>
      <c r="E6" s="21" t="n">
        <v>144552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5577</v>
      </c>
      <c r="C8" s="21" t="n">
        <v>32972</v>
      </c>
      <c r="D8" s="21" t="n">
        <v>81453</v>
      </c>
      <c r="E8" s="21" t="n">
        <v>130387</v>
      </c>
    </row>
    <row r="9">
      <c r="A9" s="3" t="inlineStr">
        <is>
          <t>Net income</t>
        </is>
      </c>
      <c r="B9" s="21" t="n">
        <v>4368</v>
      </c>
      <c r="C9" s="21" t="n">
        <v>29760</v>
      </c>
      <c r="D9" s="21" t="n">
        <v>72880</v>
      </c>
      <c r="E9" s="21" t="n">
        <v>120067</v>
      </c>
    </row>
    <row r="10">
      <c r="A10" s="3" t="inlineStr">
        <is>
          <t>Diluted average shares (M)</t>
        </is>
      </c>
      <c r="B10" s="21" t="n">
        <v>25070</v>
      </c>
      <c r="C10" s="21" t="n">
        <v>24940</v>
      </c>
      <c r="D10" s="21" t="n">
        <v>24804</v>
      </c>
      <c r="E10" s="21" t="n">
        <v>24514</v>
      </c>
    </row>
    <row r="11">
      <c r="A11" s="3" t="inlineStr">
        <is>
          <t>Operating cash flow</t>
        </is>
      </c>
      <c r="B11" s="21" t="n">
        <v>5641</v>
      </c>
      <c r="C11" s="21" t="n">
        <v>28090</v>
      </c>
      <c r="D11" s="21" t="n">
        <v>64089</v>
      </c>
      <c r="E11" s="21" t="n">
        <v>102718</v>
      </c>
    </row>
    <row r="12">
      <c r="A12" s="3" t="inlineStr">
        <is>
          <t>Capital expenditures</t>
        </is>
      </c>
      <c r="B12" s="21" t="n">
        <v>-1833</v>
      </c>
      <c r="C12" s="21" t="n">
        <v>-1069</v>
      </c>
      <c r="D12" s="21" t="n">
        <v>-3236</v>
      </c>
      <c r="E12" s="21" t="n">
        <v>-6042</v>
      </c>
    </row>
    <row r="13">
      <c r="A13" s="3" t="inlineStr">
        <is>
          <t>Free cash flow</t>
        </is>
      </c>
      <c r="B13" s="21" t="n">
        <v>3808</v>
      </c>
      <c r="C13" s="21" t="n">
        <v>27021</v>
      </c>
      <c r="D13" s="21" t="n">
        <v>60853</v>
      </c>
      <c r="E13" s="21" t="n">
        <v>96676</v>
      </c>
    </row>
    <row r="14">
      <c r="A14" s="3" t="inlineStr">
        <is>
          <t>Cash &amp; equivalents</t>
        </is>
      </c>
      <c r="B14" s="21" t="n">
        <v>3389</v>
      </c>
      <c r="C14" s="21" t="n">
        <v>7280</v>
      </c>
      <c r="D14" s="21" t="n">
        <v>8589</v>
      </c>
      <c r="E14" s="21" t="n">
        <v>10605</v>
      </c>
    </row>
    <row r="15">
      <c r="A15" s="3" t="inlineStr">
        <is>
          <t>Total debt</t>
        </is>
      </c>
      <c r="B15" s="21" t="n">
        <v>12031</v>
      </c>
      <c r="C15" s="21" t="n">
        <v>11056</v>
      </c>
      <c r="D15" s="21" t="n">
        <v>9982</v>
      </c>
      <c r="E15" s="21" t="n">
        <v>11040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NVIDIA Corporation (NVDA)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2027</v>
      </c>
      <c r="C3" s="20" t="n">
        <v>2028</v>
      </c>
      <c r="D3" s="20" t="n">
        <v>2029</v>
      </c>
      <c r="E3" s="20" t="n">
        <v>2030</v>
      </c>
      <c r="F3" s="20" t="n">
        <v>2031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NVIDIA Corporation (NVDA)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2027</v>
      </c>
      <c r="C3" s="20" t="n">
        <v>2028</v>
      </c>
      <c r="D3" s="20" t="n">
        <v>2029</v>
      </c>
      <c r="E3" s="20" t="n">
        <v>2030</v>
      </c>
      <c r="F3" s="20" t="n">
        <v>2031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NVIDIA Corporation (NVDA)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2027</v>
      </c>
      <c r="C3" s="20" t="n">
        <v>2028</v>
      </c>
      <c r="D3" s="20" t="n">
        <v>2029</v>
      </c>
      <c r="E3" s="20" t="n">
        <v>2030</v>
      </c>
      <c r="F3" s="20" t="n">
        <v>2031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AI infrastructure &amp; semiconductors</t>
        </is>
      </c>
    </row>
    <row r="2" ht="18" customHeight="1">
      <c r="A2" s="2" t="inlineStr">
        <is>
          <t>Market data as of 2026-10-16 (Yahoo Finance, frozen in data/). $ millions, except price and per-share.</t>
        </is>
      </c>
    </row>
    <row r="3">
      <c r="A3" s="20" t="inlineStr"/>
      <c r="B3" s="20" t="inlineStr">
        <is>
          <t>NVDA</t>
        </is>
      </c>
      <c r="C3" s="20" t="inlineStr">
        <is>
          <t>AVGO</t>
        </is>
      </c>
      <c r="D3" s="20" t="inlineStr">
        <is>
          <t>AMD</t>
        </is>
      </c>
      <c r="E3" s="20" t="inlineStr">
        <is>
          <t>ALAB</t>
        </is>
      </c>
    </row>
    <row r="4">
      <c r="A4" s="3" t="inlineStr">
        <is>
          <t>Price ($, Oct 16 close)</t>
        </is>
      </c>
      <c r="B4" s="23" t="n">
        <v>214.13</v>
      </c>
      <c r="C4" s="23" t="n">
        <v>328.75</v>
      </c>
      <c r="D4" s="23" t="n">
        <v>528.75</v>
      </c>
      <c r="E4" s="23" t="n">
        <v>285.82</v>
      </c>
    </row>
    <row r="5">
      <c r="A5" s="3" t="inlineStr">
        <is>
          <t>Market cap ($M)</t>
        </is>
      </c>
      <c r="B5" s="21" t="n">
        <v>5278775.4</v>
      </c>
      <c r="C5" s="21" t="n">
        <v>1620074.6</v>
      </c>
      <c r="D5" s="21" t="n">
        <v>902049.6</v>
      </c>
      <c r="E5" s="21" t="n">
        <v>50829.4</v>
      </c>
    </row>
    <row r="6">
      <c r="A6" s="3" t="inlineStr">
        <is>
          <t>Enterprise value ($M)</t>
        </is>
      </c>
      <c r="B6" s="21" t="n">
        <v>5136924</v>
      </c>
      <c r="C6" s="21" t="n">
        <v>1604774.8</v>
      </c>
      <c r="D6" s="21" t="n">
        <v>854336.2</v>
      </c>
      <c r="E6" s="21" t="n">
        <v>48377</v>
      </c>
    </row>
    <row r="7">
      <c r="A7" s="3" t="inlineStr">
        <is>
          <t>Revenue, TTM ($M)</t>
        </is>
      </c>
      <c r="B7" s="21" t="n">
        <v>302970</v>
      </c>
      <c r="C7" s="21" t="n">
        <v>89104</v>
      </c>
      <c r="D7" s="21" t="n">
        <v>41305</v>
      </c>
      <c r="E7" s="21" t="n">
        <v>1201.9</v>
      </c>
    </row>
    <row r="8">
      <c r="A8" s="3" t="inlineStr">
        <is>
          <t>EBITDA, TTM ($M)</t>
        </is>
      </c>
      <c r="B8" s="21" t="n">
        <v>201266</v>
      </c>
      <c r="C8" s="21" t="n">
        <v>52260</v>
      </c>
      <c r="D8" s="21" t="n">
        <v>9562</v>
      </c>
      <c r="E8" s="21" t="n">
        <v>285.4</v>
      </c>
    </row>
    <row r="9">
      <c r="A9" s="3" t="inlineStr">
        <is>
          <t>Forward EPS ($)</t>
        </is>
      </c>
      <c r="B9" s="23" t="n">
        <v>15.9146</v>
      </c>
      <c r="C9" s="23" t="n">
        <v>19.397</v>
      </c>
      <c r="D9" s="23" t="n">
        <v>15.7621</v>
      </c>
      <c r="E9" s="23" t="n">
        <v>6.4031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27.64</v>
      </c>
      <c r="C12" s="24" t="n">
        <v>43.34</v>
      </c>
      <c r="D12" s="24" t="n">
        <v>140.96</v>
      </c>
      <c r="E12" s="24" t="n">
        <v>144.33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NVDA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[JUDGMENT] Operative comps lens: EV/Revenue at median peer 20.7x → $258.83. Peer EV/EBITDA is distorted by AMD/ALAB growth-phase multiples.</t>
        </is>
      </c>
    </row>
    <row r="22">
      <c r="A22" s="3" t="inlineStr">
        <is>
          <t>Median peer EV / EBITDA</t>
        </is>
      </c>
      <c r="B22" s="24">
        <f>MEDIAN(C11:E11)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3" t="inlineStr">
        <is>
          <t>Implied equity ($M)</t>
        </is>
      </c>
      <c r="B24" s="21">
        <f>B22-Assumptions!$B$35</f>
        <v/>
      </c>
    </row>
    <row r="25">
      <c r="A25" s="10" t="inlineStr">
        <is>
          <t>Implied per share — EV/EBITDA ($)</t>
        </is>
      </c>
      <c r="B25" s="23">
        <f>B24/Assumptions!$B$36</f>
        <v/>
      </c>
      <c r="C25" s="25" t="inlineStr">
        <is>
          <t>Shown for reference; median peer EV/EBITDA (89.3x) is dominated by AMD/ALAB growth-phase multiples — not the operative lens.</t>
        </is>
      </c>
    </row>
    <row r="27">
      <c r="A27" s="3" t="inlineStr">
        <is>
          <t>Median peer forward P/E</t>
        </is>
      </c>
      <c r="B27" s="24">
        <f>MEDIAN(C13:F13)</f>
        <v/>
      </c>
    </row>
    <row r="28">
      <c r="A28" s="3" t="inlineStr">
        <is>
          <t>NVDA forward EPS ($)</t>
        </is>
      </c>
      <c r="B28" s="23">
        <f>B9</f>
        <v/>
      </c>
    </row>
    <row r="29">
      <c r="A29" s="7" t="inlineStr">
        <is>
          <t>Implied per share — forward P/E ($)</t>
        </is>
      </c>
      <c r="B29" s="23">
        <f>B27*B28</f>
        <v/>
      </c>
      <c r="C29" s="25" t="inlineStr">
        <is>
          <t>Forward P/E shown for reference; DCF is the primary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Cash-flow 'Net Income From Continuing Operations' = income-statement net income for FY2023–FY2026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FY2023–FY2026 total revenue 26,974.0 / 60,922.0 / 130,497.0 / 215,938.0 ($M) from Yahoo Finance annual income statement; FY2022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24,147M outstanding (Yahoo Finance, Oct 2026); FY2026 diluted weighted avg 24,514M (10-K via Yahoo). Delta &lt;2%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FY2027 balance sheet (2026-07-31): total debt $38,351M less cash &amp; equivalents $22,443M = net debt $15,908M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2.22 (Yahoo Finance 2.216, 2026-10-19); cross-checked MarketBeat 2.22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— shared framework constant, already verified</t>
        </is>
      </c>
      <c r="C9" s="27" t="inlineStr">
        <is>
          <t>PASS</t>
        </is>
      </c>
    </row>
    <row r="10" ht="30" customHeight="1">
      <c r="A10" s="26" t="inlineStr">
        <is>
          <t>Comps market data as-of</t>
        </is>
      </c>
      <c r="B10" s="8" t="inlineStr">
        <is>
          <t>NVDA / AVGO / AMD / ALAB Oct 16 closes and TTM fields pulled 2026-10-19 via Yahoo Finance (frozen in data/)</t>
        </is>
      </c>
      <c r="C10" s="27" t="inlineStr">
        <is>
          <t>PASS</t>
        </is>
      </c>
    </row>
    <row r="11" ht="30" customHeight="1">
      <c r="A11" s="26" t="inlineStr">
        <is>
          <t>FCF bridge reconciles</t>
        </is>
      </c>
      <c r="B11" s="8" t="inlineStr">
        <is>
          <t>Formula check: EV = sum of PV of FCF + PV of terminal value</t>
        </is>
      </c>
      <c r="C11" s="27">
        <f>IF(ABS(DCF_Base!B22-(DCF_Base!B19+DCF_Base!B21))&lt;0.5,"PASS","FAIL")</f>
        <v/>
      </c>
    </row>
    <row r="12" ht="30" customHeight="1">
      <c r="A12" s="26" t="inlineStr">
        <is>
          <t>Per-share arithmetic</t>
        </is>
      </c>
      <c r="B12" s="8" t="inlineStr">
        <is>
          <t>Formula check: per-share = equity value / shares</t>
        </is>
      </c>
      <c r="C12" s="27">
        <f>IF(ABS(DCF_Base!B26-DCF_Base!B24/DCF_Base!B25)&lt;0.01,"PASS","FAIL")</f>
        <v/>
      </c>
    </row>
    <row r="13" ht="30" customHeight="1">
      <c r="A13" s="26" t="inlineStr">
        <is>
          <t>Debt jump verified</t>
        </is>
      </c>
      <c r="B13" s="8" t="inlineStr">
        <is>
          <t>Q2 FY2027 total debt $38,351M vs $12,348M in Q1 FY2027 — verified against info-field totalDebt $38.9B; consistent with new issuance in H1 FY2027, not a data artifact</t>
        </is>
      </c>
      <c r="C13" s="27" t="inlineStr">
        <is>
          <t>PASS</t>
        </is>
      </c>
    </row>
    <row r="14" ht="30" customHeight="1">
      <c r="A14" s="26" t="inlineStr">
        <is>
          <t>Tax normalization</t>
        </is>
      </c>
      <c r="B14" s="8" t="inlineStr">
        <is>
          <t>FY2026 effective tax ~15%; model uses 21% statutory forward rate — conservative, flagged as judgment on Assumptions</t>
        </is>
      </c>
      <c r="C14" s="27" t="inlineStr">
        <is>
          <t>PASS</t>
        </is>
      </c>
    </row>
    <row r="15" ht="30" customHeight="1">
      <c r="A15" s="26" t="inlineStr">
        <is>
          <t>Down-cycle in bear case</t>
        </is>
      </c>
      <c r="B15" s="8" t="inlineStr">
        <is>
          <t>Bear case includes an actual −10% revenue down year (FY2030), not just slower growth — semi cyclicality requirement</t>
        </is>
      </c>
      <c r="C15" s="27" t="inlineStr">
        <is>
          <t>PASS</t>
        </is>
      </c>
    </row>
    <row r="16" ht="30" customHeight="1">
      <c r="A16" s="26" t="inlineStr">
        <is>
          <t>DCF vs market gap is explainable</t>
        </is>
      </c>
      <c r="B16" s="8" t="inlineStr">
        <is>
          <t>Base per-share trails $214.13 because a 15.0% WACC (beta 2.22 × 5.1% risk-free) discounts even 29% 5-yr revenue CAGR hard; the market price implies a ~10% WACC or flawless execution</t>
        </is>
      </c>
      <c r="C16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NVDA quote &amp; financials</t>
        </is>
      </c>
      <c r="C4" s="29" t="inlineStr">
        <is>
          <t>https://finance.yahoo.com/quote/NVDA</t>
        </is>
      </c>
      <c r="D4" s="28" t="inlineStr">
        <is>
          <t>2026-10-19</t>
        </is>
      </c>
      <c r="E4" s="8" t="inlineStr">
        <is>
          <t>Price, beta, shares, annual/quarterly statements (frozen in data/)</t>
        </is>
      </c>
    </row>
    <row r="5" ht="28" customHeight="1">
      <c r="A5" s="28" t="n">
        <v>2</v>
      </c>
      <c r="B5" s="8" t="inlineStr">
        <is>
          <t>MarketBeat — NVDA stock analysis</t>
        </is>
      </c>
      <c r="C5" s="29" t="inlineStr">
        <is>
          <t>https://www.marketbeat.com/stocks/NASDAQ/NVDA/?Vote=1</t>
        </is>
      </c>
      <c r="D5" s="28" t="inlineStr">
        <is>
          <t>2026-10-19</t>
        </is>
      </c>
      <c r="E5" s="8" t="inlineStr">
        <is>
          <t>Beta (2.22) and shares cross-check</t>
        </is>
      </c>
    </row>
    <row r="6" ht="28" customHeight="1">
      <c r="A6" s="28" t="n">
        <v>3</v>
      </c>
      <c r="B6" s="8" t="inlineStr">
        <is>
          <t>Reuters — 10Y yield 5.085% on Oct 19, 2026</t>
        </is>
      </c>
      <c r="C6" s="29" t="inlineStr">
        <is>
          <t>https://www.reuters.com/business/wall-st-futures-climb-ai-stocks-rebound-oil-yields-fall-2026-10-19/</t>
        </is>
      </c>
      <c r="D6" s="28" t="inlineStr">
        <is>
          <t>2026-10-19</t>
        </is>
      </c>
      <c r="E6" s="8" t="inlineStr">
        <is>
          <t>Risk-free rate (shared framework constant)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2026-10-19T15:34:04+00:00Z</dcterms:created>
  <dcterms:modified xmlns:dcterms="http://purl.org/dc/terms/" xmlns:xsi="http://www.w3.org/2001/XMLSchema-instance" xsi:type="dcterms:W3CDTF">2026-10-19T15:34:04+00:00Z</dcterms:modified>
</cp:coreProperties>
</file>