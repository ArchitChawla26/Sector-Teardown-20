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Historicals" sheetId="3" state="visible" r:id="rId3"/>
    <sheet xmlns:r="http://schemas.openxmlformats.org/officeDocument/2006/relationships" name="DCF_Base" sheetId="4" state="visible" r:id="rId4"/>
    <sheet xmlns:r="http://schemas.openxmlformats.org/officeDocument/2006/relationships" name="DCF_Bull" sheetId="5" state="visible" r:id="rId5"/>
    <sheet xmlns:r="http://schemas.openxmlformats.org/officeDocument/2006/relationships" name="DCF_Bear" sheetId="6" state="visible" r:id="rId6"/>
    <sheet xmlns:r="http://schemas.openxmlformats.org/officeDocument/2006/relationships" name="Comps" sheetId="7" state="visible" r:id="rId7"/>
    <sheet xmlns:r="http://schemas.openxmlformats.org/officeDocument/2006/relationships" name="Checks" sheetId="8" state="visible" r:id="rId8"/>
    <sheet xmlns:r="http://schemas.openxmlformats.org/officeDocument/2006/relationships" name="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.0%"/>
    <numFmt numFmtId="166" formatCode="#,##0.0"/>
    <numFmt numFmtId="167" formatCode="0.000"/>
    <numFmt numFmtId="168" formatCode="#,##0.0&quot;x&quot;"/>
  </numFmts>
  <fonts count="13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sz val="12"/>
    </font>
    <font>
      <name val="Calibri"/>
      <b val="1"/>
      <color rgb="00C00000"/>
      <sz val="12"/>
    </font>
    <font>
      <name val="Calibri"/>
      <sz val="11"/>
    </font>
    <font>
      <name val="Calibri"/>
      <b val="1"/>
      <sz val="11"/>
    </font>
    <font>
      <name val="Calibri"/>
      <i val="1"/>
      <color rgb="00595959"/>
      <sz val="9"/>
    </font>
    <font>
      <name val="Calibri"/>
      <b val="1"/>
      <color rgb="001F4E78"/>
      <sz val="11"/>
    </font>
    <font>
      <name val="Calibri"/>
      <b val="1"/>
      <sz val="9"/>
    </font>
    <font>
      <name val="Calibri"/>
      <color rgb="00595959"/>
      <sz val="9"/>
    </font>
    <font>
      <name val="Calibri"/>
      <b val="1"/>
      <color rgb="00FFFFFF"/>
      <sz val="11"/>
    </font>
    <font>
      <name val="Calibri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  <xf numFmtId="165" fontId="0" fillId="2" borderId="0" pivotButton="0" quotePrefix="0" xfId="0"/>
    <xf numFmtId="0" fontId="9" fillId="3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 wrapText="1"/>
    </xf>
    <xf numFmtId="2" fontId="0" fillId="2" borderId="0" pivotButton="0" quotePrefix="0" xfId="0"/>
    <xf numFmtId="165" fontId="0" fillId="0" borderId="0" pivotButton="0" quotePrefix="0" xfId="0"/>
    <xf numFmtId="0" fontId="9" fillId="0" borderId="0" applyAlignment="1" pivotButton="0" quotePrefix="0" xfId="0">
      <alignment horizontal="center" vertical="center" wrapText="1"/>
    </xf>
    <xf numFmtId="166" fontId="0" fillId="2" borderId="0" pivotButton="0" quotePrefix="0" xfId="0"/>
    <xf numFmtId="0" fontId="11" fillId="5" borderId="0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166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8" fontId="0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hyperlink" Target="https://finance.yahoo.com/quote/META" TargetMode="External" Id="rId1"/><Relationship Type="http://schemas.openxmlformats.org/officeDocument/2006/relationships/hyperlink" Target="https://finance.yahoo.com/quote/AAPL" TargetMode="External" Id="rId2"/><Relationship Type="http://schemas.openxmlformats.org/officeDocument/2006/relationships/hyperlink" Target="https://finance.yahoo.com/quote/AMZN" TargetMode="External" Id="rId3"/><Relationship Type="http://schemas.openxmlformats.org/officeDocument/2006/relationships/hyperlink" Target="https://finance.yahoo.com/quote/GOOGL" TargetMode="External" Id="rId4"/><Relationship Type="http://schemas.openxmlformats.org/officeDocument/2006/relationships/hyperlink" Target="https://www.reuters.com/business/wall-st-futures-climb-ai-stocks-rebound-oil-yields-fall-2026-10-19/" TargetMode="External" Id="rId5"/><Relationship Type="http://schemas.openxmlformats.org/officeDocument/2006/relationships/hyperlink" Target="https://StockAnalysis.com/stocks/meta/" TargetMode="External" Id="rId6"/><Relationship Type="http://schemas.openxmlformats.org/officeDocument/2006/relationships/hyperlink" Target="https://investor.atmeta.com/investor-news/press-release-details/2026/Meta-Reports-Fourth-Quarter-and-Full-Year-2025-Results/default.aspx?ref=wheresyoured.at" TargetMode="External" Id="rId7"/><Relationship Type="http://schemas.openxmlformats.org/officeDocument/2006/relationships/hyperlink" Target="https://www.panabee.com/news/meta-platforms-earnings-2025-annual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0" customWidth="1" min="2" max="2"/>
    <col width="10" customWidth="1" min="3" max="3"/>
    <col width="10" customWidth="1" min="4" max="4"/>
  </cols>
  <sheetData>
    <row r="1" ht="24" customHeight="1">
      <c r="A1" s="1" t="inlineStr">
        <is>
          <t>Equity Research Teardown  —  Meta Platforms, Inc. (NASDAQ: META)</t>
        </is>
      </c>
    </row>
    <row r="2" ht="18" customHeight="1">
      <c r="A2" s="2" t="inlineStr">
        <is>
          <t>Consumer Tech sector teardown  |  Independent equity research project by Archit Chawla  |  As of October 19, 2026</t>
        </is>
      </c>
    </row>
    <row r="4">
      <c r="A4" s="3" t="inlineStr">
        <is>
          <t>Current price (Oct 16, 2026 close)</t>
        </is>
      </c>
      <c r="B4" s="4" t="n">
        <v>709.33</v>
      </c>
    </row>
    <row r="5">
      <c r="A5" s="3" t="inlineStr">
        <is>
          <t>Recommendation</t>
        </is>
      </c>
      <c r="B5" s="5" t="inlineStr">
        <is>
          <t>PASS</t>
        </is>
      </c>
    </row>
    <row r="6">
      <c r="A6" s="3" t="inlineStr">
        <is>
          <t>One-line thesis</t>
        </is>
      </c>
      <c r="B6" s="6" t="inlineStr">
        <is>
          <t>A 52%-margin ad monopoly funding a $19.2B-a-year Reality Labs burn and a $115–135B 2026 capex guide the market refuses to discount: my DCF sits 42% below $709.33. Peer multiples say the ad business is fairly priced — the entire gap is the AI bet.</t>
        </is>
      </c>
    </row>
    <row r="8">
      <c r="A8" s="7" t="inlineStr">
        <is>
          <t>Contents</t>
        </is>
      </c>
    </row>
    <row r="9">
      <c r="A9" s="7" t="inlineStr">
        <is>
          <t>Assumptions</t>
        </is>
      </c>
      <c r="B9" s="8" t="inlineStr">
        <is>
          <t>WACC build and all forecast drivers; [DATA] vs [JUDGMENT] tags</t>
        </is>
      </c>
    </row>
    <row r="10">
      <c r="A10" s="7" t="inlineStr">
        <is>
          <t>Historicals</t>
        </is>
      </c>
      <c r="B10" s="8" t="inlineStr">
        <is>
          <t>FY2022–FY2025 (fiscal years ended December 31); FY2021 column blank in source — excluded financials from Yahoo Finance annual statements</t>
        </is>
      </c>
    </row>
    <row r="11">
      <c r="A11" s="7" t="inlineStr">
        <is>
          <t>DCF_Base / DCF_Bull / DCF_Bear</t>
        </is>
      </c>
      <c r="B11" s="8" t="inlineStr">
        <is>
          <t>5-year DCF per case; all formulas live</t>
        </is>
      </c>
    </row>
    <row r="12">
      <c r="A12" s="7" t="inlineStr">
        <is>
          <t>Comps</t>
        </is>
      </c>
      <c r="B12" s="8" t="inlineStr">
        <is>
          <t>META, AAPL, AMZN, GOOGL multiples on Oct 16, 2026 prices and implied ranges</t>
        </is>
      </c>
    </row>
    <row r="13">
      <c r="A13" s="7" t="inlineStr">
        <is>
          <t>Checks</t>
        </is>
      </c>
      <c r="B13" s="8" t="inlineStr">
        <is>
          <t>Verification appendix: tie-outs and data sources</t>
        </is>
      </c>
    </row>
    <row r="14">
      <c r="A14" s="7" t="inlineStr">
        <is>
          <t>Sources</t>
        </is>
      </c>
      <c r="B14" s="8" t="inlineStr">
        <is>
          <t>Full URLs and access dates</t>
        </is>
      </c>
    </row>
    <row r="16">
      <c r="A16" s="9" t="inlineStr">
        <is>
          <t>Disclaimer: Independent project for skill demonstration; not investment advice.</t>
        </is>
      </c>
    </row>
  </sheetData>
  <mergeCells count="3">
    <mergeCell ref="A1:D1"/>
    <mergeCell ref="A16:D16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60" customWidth="1" min="8" max="8"/>
  </cols>
  <sheetData>
    <row r="1" ht="24" customHeight="1">
      <c r="A1" s="1" t="inlineStr">
        <is>
          <t>Assumptions</t>
        </is>
      </c>
    </row>
    <row r="2" ht="18" customHeight="1">
      <c r="A2" s="2" t="inlineStr">
        <is>
          <t>Blue cells are inputs. [DATA] = market/filing data; [JUDGMENT] = analyst estimate with rationale.</t>
        </is>
      </c>
    </row>
    <row r="3">
      <c r="A3" s="10" t="inlineStr">
        <is>
          <t>WACC build</t>
        </is>
      </c>
    </row>
    <row r="4">
      <c r="A4" s="3" t="inlineStr">
        <is>
          <t>Risk-free rate (US 10Y)</t>
        </is>
      </c>
      <c r="B4" s="11" t="n">
        <v>0.051</v>
      </c>
      <c r="C4" s="12" t="inlineStr">
        <is>
          <t>[DATA]</t>
        </is>
      </c>
      <c r="D4" s="13" t="inlineStr">
        <is>
          <t>5.09% on 2026-10-19 (Reuters); rounded to 5.1% (shared framework)</t>
        </is>
      </c>
    </row>
    <row r="5">
      <c r="A5" s="3" t="inlineStr">
        <is>
          <t>Equity risk premium</t>
        </is>
      </c>
      <c r="B5" s="11" t="n">
        <v>0.045</v>
      </c>
      <c r="C5" s="14" t="inlineStr">
        <is>
          <t>[JUDGMENT]</t>
        </is>
      </c>
      <c r="D5" s="13" t="inlineStr">
        <is>
          <t>Long-run US ERP assumption (shared framework)</t>
        </is>
      </c>
    </row>
    <row r="6">
      <c r="A6" s="3" t="inlineStr">
        <is>
          <t>Beta (META)</t>
        </is>
      </c>
      <c r="B6" s="15" t="n">
        <v>1.19</v>
      </c>
      <c r="C6" s="12" t="inlineStr">
        <is>
          <t>[DATA]</t>
        </is>
      </c>
      <c r="D6" s="13" t="inlineStr">
        <is>
          <t>Yahoo Finance 2026-10-19 (1.185); cross-checked 1.19 (stockanalysis.com, 5Y) and 1.19 (MarketBeat)</t>
        </is>
      </c>
    </row>
    <row r="7">
      <c r="A7" s="3" t="inlineStr">
        <is>
          <t>Cost of equity (CAPM)</t>
        </is>
      </c>
      <c r="B7" s="16">
        <f>Assumptions!$B$4+Assumptions!$B$6*Assumptions!$B$5</f>
        <v/>
      </c>
      <c r="C7" s="17" t="inlineStr">
        <is>
          <t>[CALC]</t>
        </is>
      </c>
      <c r="D7" s="13" t="inlineStr">
        <is>
          <t>Rf + beta × ERP</t>
        </is>
      </c>
    </row>
    <row r="8">
      <c r="A8" s="3" t="inlineStr">
        <is>
          <t>Pre-tax cost of debt</t>
        </is>
      </c>
      <c r="B8" s="11" t="n">
        <v>0.055</v>
      </c>
      <c r="C8" s="14" t="inlineStr">
        <is>
          <t>[JUDGMENT]</t>
        </is>
      </c>
      <c r="D8" s="13" t="inlineStr">
        <is>
          <t>Through-cycle new-issue estimate in a 5.1% Treasury world (shared framework: uniform 5.5%)</t>
        </is>
      </c>
    </row>
    <row r="9">
      <c r="A9" s="3" t="inlineStr">
        <is>
          <t>Marginal tax rate</t>
        </is>
      </c>
      <c r="B9" s="11" t="n">
        <v>0.21</v>
      </c>
      <c r="C9" s="14" t="inlineStr">
        <is>
          <t>[JUDGMENT]</t>
        </is>
      </c>
      <c r="D9" s="13" t="inlineStr">
        <is>
          <t>US statutory 21% (shared framework)</t>
        </is>
      </c>
    </row>
    <row r="10">
      <c r="A10" s="3" t="inlineStr">
        <is>
          <t>After-tax cost of debt</t>
        </is>
      </c>
      <c r="B10" s="16">
        <f>Assumptions!$B$8*(1-Assumptions!$B$9)</f>
        <v/>
      </c>
      <c r="C10" s="17" t="inlineStr">
        <is>
          <t>[CALC]</t>
        </is>
      </c>
      <c r="D10" s="13" t="inlineStr"/>
    </row>
    <row r="11">
      <c r="A11" s="3" t="inlineStr">
        <is>
          <t>Market value of equity ($M)</t>
        </is>
      </c>
      <c r="B11" s="18" t="n">
        <v>1808792</v>
      </c>
      <c r="C11" s="12" t="inlineStr">
        <is>
          <t>[DATA]</t>
        </is>
      </c>
      <c r="D11" s="13" t="inlineStr">
        <is>
          <t>Oct 16, 2026 close $709.33 x 2,550M total shares</t>
        </is>
      </c>
    </row>
    <row r="12">
      <c r="A12" s="3" t="inlineStr">
        <is>
          <t>Book value of debt ($M)</t>
        </is>
      </c>
      <c r="B12" s="18" t="n">
        <v>112318</v>
      </c>
      <c r="C12" s="12" t="inlineStr">
        <is>
          <t>[DATA]</t>
        </is>
      </c>
      <c r="D12" s="13" t="inlineStr">
        <is>
          <t>Q2 2026 balance sheet, Jun 2026 (Yahoo Finance)</t>
        </is>
      </c>
    </row>
    <row r="13">
      <c r="A13" s="3" t="inlineStr">
        <is>
          <t>Weight of equity</t>
        </is>
      </c>
      <c r="B13" s="16">
        <f>Assumptions!$B$11/(Assumptions!$B$11+Assumptions!$B$12)</f>
        <v/>
      </c>
      <c r="C13" s="17" t="inlineStr">
        <is>
          <t>[CALC]</t>
        </is>
      </c>
      <c r="D13" s="13" t="inlineStr"/>
    </row>
    <row r="14">
      <c r="A14" s="3" t="inlineStr">
        <is>
          <t>Weight of debt</t>
        </is>
      </c>
      <c r="B14" s="16">
        <f>Assumptions!$B$12/(Assumptions!$B$11+Assumptions!$B$12)</f>
        <v/>
      </c>
      <c r="C14" s="17" t="inlineStr">
        <is>
          <t>[CALC]</t>
        </is>
      </c>
      <c r="D14" s="13" t="inlineStr"/>
    </row>
    <row r="15">
      <c r="A15" s="3" t="inlineStr">
        <is>
          <t>WACC — base case</t>
        </is>
      </c>
      <c r="B15" s="16">
        <f>Assumptions!$B$13*Assumptions!$B$7+Assumptions!$B$14*Assumptions!$B$10</f>
        <v/>
      </c>
      <c r="C15" s="17" t="inlineStr">
        <is>
          <t>[CALC]</t>
        </is>
      </c>
      <c r="D15" s="13" t="inlineStr"/>
    </row>
    <row r="16">
      <c r="A16" s="3" t="inlineStr">
        <is>
          <t>WACC — bull case (-100 bps)</t>
        </is>
      </c>
      <c r="B16" s="16">
        <f>Assumptions!$B$15-0.01</f>
        <v/>
      </c>
      <c r="C16" s="17" t="inlineStr">
        <is>
          <t>[CALC]</t>
        </is>
      </c>
      <c r="D16" s="13" t="inlineStr">
        <is>
          <t>Rate-normalization scenario (shared framework)</t>
        </is>
      </c>
    </row>
    <row r="17">
      <c r="A17" s="3" t="inlineStr">
        <is>
          <t>WACC — bear case (+100 bps)</t>
        </is>
      </c>
      <c r="B17" s="16">
        <f>Assumptions!$B$15+0.01</f>
        <v/>
      </c>
      <c r="C17" s="17" t="inlineStr">
        <is>
          <t>[CALC]</t>
        </is>
      </c>
      <c r="D17" s="13" t="inlineStr">
        <is>
          <t>Higher-for-longer scenario (shared framework)</t>
        </is>
      </c>
    </row>
    <row r="19">
      <c r="A19" s="10" t="inlineStr">
        <is>
          <t>Forecast drivers (2026–2030)</t>
        </is>
      </c>
    </row>
    <row r="20">
      <c r="B20" s="19" t="n">
        <v>2026</v>
      </c>
      <c r="C20" s="19" t="n">
        <v>2027</v>
      </c>
      <c r="D20" s="19" t="n">
        <v>2028</v>
      </c>
      <c r="E20" s="19" t="n">
        <v>2029</v>
      </c>
      <c r="F20" s="19" t="n">
        <v>2030</v>
      </c>
    </row>
    <row r="21">
      <c r="A21" s="3" t="inlineStr">
        <is>
          <t>Revenue growth — base</t>
        </is>
      </c>
      <c r="B21" s="11" t="n">
        <v>0.2</v>
      </c>
      <c r="C21" s="11" t="n">
        <v>0.16</v>
      </c>
      <c r="D21" s="11" t="n">
        <v>0.13</v>
      </c>
      <c r="E21" s="11" t="n">
        <v>0.11</v>
      </c>
      <c r="F21" s="11" t="n">
        <v>0.09</v>
      </c>
      <c r="G21" s="14" t="inlineStr">
        <is>
          <t>[JUDGMENT]</t>
        </is>
      </c>
      <c r="H21" s="13" t="inlineStr">
        <is>
          <t>FY2026E +20% (Q2 2026 rev +28% YoY); ad price +9% and impressions +12% compounding; Reality Labs revenue negligible</t>
        </is>
      </c>
    </row>
    <row r="22">
      <c r="A22" s="3" t="inlineStr">
        <is>
          <t>Revenue growth — bull</t>
        </is>
      </c>
      <c r="B22" s="11" t="n">
        <v>0.26</v>
      </c>
      <c r="C22" s="11" t="n">
        <v>0.21</v>
      </c>
      <c r="D22" s="11" t="n">
        <v>0.17</v>
      </c>
      <c r="E22" s="11" t="n">
        <v>0.14</v>
      </c>
      <c r="F22" s="11" t="n">
        <v>0.12</v>
      </c>
      <c r="G22" s="14" t="inlineStr">
        <is>
          <t>[JUDGMENT]</t>
        </is>
      </c>
      <c r="H22" s="13" t="inlineStr">
        <is>
          <t>AI ad-targeting gains + WhatsApp monetization; ad share keeps compounding</t>
        </is>
      </c>
    </row>
    <row r="23">
      <c r="A23" s="3" t="inlineStr">
        <is>
          <t>Revenue growth — bear</t>
        </is>
      </c>
      <c r="B23" s="11" t="n">
        <v>0.12</v>
      </c>
      <c r="C23" s="11" t="n">
        <v>0.08</v>
      </c>
      <c r="D23" s="11" t="n">
        <v>0.06</v>
      </c>
      <c r="E23" s="11" t="n">
        <v>0.04</v>
      </c>
      <c r="F23" s="11" t="n">
        <v>0.02</v>
      </c>
      <c r="G23" s="14" t="inlineStr">
        <is>
          <t>[JUDGMENT]</t>
        </is>
      </c>
      <c r="H23" s="13" t="inlineStr">
        <is>
          <t>EU 'less personalized ads' ruling impairs ARPP; ad-cycle downturn; Reality Labs losses don't peak</t>
        </is>
      </c>
    </row>
    <row r="24">
      <c r="A24" s="3" t="inlineStr">
        <is>
          <t>EBITDA margin — base</t>
        </is>
      </c>
      <c r="B24" s="11" t="n">
        <v>0.53</v>
      </c>
      <c r="C24" s="11" t="n">
        <v>0.535</v>
      </c>
      <c r="D24" s="11" t="n">
        <v>0.54</v>
      </c>
      <c r="E24" s="11" t="n">
        <v>0.545</v>
      </c>
      <c r="F24" s="11" t="n">
        <v>0.55</v>
      </c>
      <c r="G24" s="14" t="inlineStr">
        <is>
          <t>[JUDGMENT]</t>
        </is>
      </c>
      <c r="H24" s="13" t="inlineStr">
        <is>
          <t>FY2025: 52.6%; Family of Apps 51.6% op margin funds the $19.2B Reality Labs loss; blended margin +50 bps/yr on ad leverage</t>
        </is>
      </c>
    </row>
    <row r="25">
      <c r="A25" s="3" t="inlineStr">
        <is>
          <t>EBITDA margin — bull</t>
        </is>
      </c>
      <c r="B25" s="11" t="n">
        <v>0.55</v>
      </c>
      <c r="C25" s="11" t="n">
        <v>0.555</v>
      </c>
      <c r="D25" s="11" t="n">
        <v>0.5600000000000001</v>
      </c>
      <c r="E25" s="11" t="n">
        <v>0.5649999999999999</v>
      </c>
      <c r="F25" s="11" t="n">
        <v>0.57</v>
      </c>
      <c r="G25" s="14" t="inlineStr">
        <is>
          <t>[JUDGMENT]</t>
        </is>
      </c>
      <c r="H25" s="13" t="inlineStr">
        <is>
          <t>Reality Labs losses peak in 2026 as guided; capex efficiency improves</t>
        </is>
      </c>
    </row>
    <row r="26">
      <c r="A26" s="3" t="inlineStr">
        <is>
          <t>EBITDA margin — bear</t>
        </is>
      </c>
      <c r="B26" s="11" t="n">
        <v>0.49</v>
      </c>
      <c r="C26" s="11" t="n">
        <v>0.485</v>
      </c>
      <c r="D26" s="11" t="n">
        <v>0.48</v>
      </c>
      <c r="E26" s="11" t="n">
        <v>0.475</v>
      </c>
      <c r="F26" s="11" t="n">
        <v>0.47</v>
      </c>
      <c r="G26" s="14" t="inlineStr">
        <is>
          <t>[JUDGMENT]</t>
        </is>
      </c>
      <c r="H26" s="13" t="inlineStr">
        <is>
          <t>Reality Labs losses widen past 2026; EU regulatory cost; hiring re-accelerates</t>
        </is>
      </c>
    </row>
    <row r="28">
      <c r="A28" s="3" t="inlineStr">
        <is>
          <t>D&amp;A (% of revenue)</t>
        </is>
      </c>
      <c r="B28" s="11" t="n">
        <v>0.1</v>
      </c>
      <c r="G28" s="14" t="inlineStr">
        <is>
          <t>[JUDGMENT]</t>
        </is>
      </c>
      <c r="H28" s="13" t="inlineStr">
        <is>
          <t>FY2025: 9.3% of revenue (18,616 / 200,966); AI server depreciation keeps rising</t>
        </is>
      </c>
    </row>
    <row r="29">
      <c r="A29" s="3" t="inlineStr">
        <is>
          <t>Stock-based comp. (% of revenue)</t>
        </is>
      </c>
      <c r="B29" s="11" t="n">
        <v>0.1</v>
      </c>
      <c r="C29" s="11" t="n">
        <v>0.095</v>
      </c>
      <c r="D29" s="11" t="n">
        <v>0.09</v>
      </c>
      <c r="E29" s="11" t="n">
        <v>0.08500000000000001</v>
      </c>
      <c r="F29" s="11" t="n">
        <v>0.08</v>
      </c>
      <c r="G29" s="14" t="inlineStr">
        <is>
          <t>[JUDGMENT]</t>
        </is>
      </c>
      <c r="H29" s="13" t="inlineStr">
        <is>
          <t>FY2025: 10.2% of revenue (20,427 / 200,966); declining with scale</t>
        </is>
      </c>
    </row>
    <row r="30">
      <c r="A30" s="3" t="inlineStr">
        <is>
          <t>Capex (% of revenue)</t>
        </is>
      </c>
      <c r="B30" s="11" t="n">
        <v>0.3</v>
      </c>
      <c r="G30" s="14" t="inlineStr">
        <is>
          <t>[JUDGMENT]</t>
        </is>
      </c>
      <c r="H30" s="13" t="inlineStr">
        <is>
          <t>FY2025: 34.7% (69,691 / 200,966); 2026 guided $115–135B — base holds 30% as the build moderates from peak</t>
        </is>
      </c>
    </row>
    <row r="31">
      <c r="A31" s="3" t="inlineStr">
        <is>
          <t>Change in NWC (% of revenue growth)</t>
        </is>
      </c>
      <c r="B31" s="11" t="n">
        <v>0.04</v>
      </c>
      <c r="G31" s="14" t="inlineStr">
        <is>
          <t>[JUDGMENT]</t>
        </is>
      </c>
      <c r="H31" s="13" t="inlineStr">
        <is>
          <t>Uniform working-capital intensity (shared framework)</t>
        </is>
      </c>
    </row>
    <row r="32">
      <c r="A32" s="3" t="inlineStr">
        <is>
          <t>Terminal growth — base</t>
        </is>
      </c>
      <c r="B32" s="11" t="n">
        <v>0.03</v>
      </c>
      <c r="G32" s="14" t="inlineStr">
        <is>
          <t>[JUDGMENT]</t>
        </is>
      </c>
      <c r="H32" s="13" t="inlineStr">
        <is>
          <t>Long-run nominal GDP (shared framework)</t>
        </is>
      </c>
    </row>
    <row r="33">
      <c r="A33" s="3" t="inlineStr">
        <is>
          <t>Terminal growth — bull</t>
        </is>
      </c>
      <c r="B33" s="11" t="n">
        <v>0.035</v>
      </c>
      <c r="G33" s="14" t="inlineStr">
        <is>
          <t>[JUDGMENT]</t>
        </is>
      </c>
      <c r="H33" s="13" t="inlineStr">
        <is>
          <t>Shared framework</t>
        </is>
      </c>
    </row>
    <row r="34">
      <c r="A34" s="3" t="inlineStr">
        <is>
          <t>Terminal growth — bear</t>
        </is>
      </c>
      <c r="B34" s="11" t="n">
        <v>0.02</v>
      </c>
      <c r="G34" s="14" t="inlineStr">
        <is>
          <t>[JUDGMENT]</t>
        </is>
      </c>
      <c r="H34" s="13" t="inlineStr">
        <is>
          <t>Shared framework</t>
        </is>
      </c>
    </row>
    <row r="35">
      <c r="A35" s="3" t="inlineStr">
        <is>
          <t>Net debt ($M)</t>
        </is>
      </c>
      <c r="B35" s="18" t="n">
        <v>22058</v>
      </c>
      <c r="G35" s="12" t="inlineStr">
        <is>
          <t>[DATA]</t>
        </is>
      </c>
      <c r="H35" s="13" t="inlineStr">
        <is>
          <t>Q2 2026: total debt 112,318 less cash 15,462 and ST investments 74,798</t>
        </is>
      </c>
    </row>
    <row r="36">
      <c r="A36" s="3" t="inlineStr">
        <is>
          <t>Shares outstanding (M)</t>
        </is>
      </c>
      <c r="B36" s="18" t="n">
        <v>2550</v>
      </c>
      <c r="G36" s="12" t="inlineStr">
        <is>
          <t>[DATA]</t>
        </is>
      </c>
      <c r="H36" s="13" t="inlineStr">
        <is>
          <t>stockanalysis.com 2.55B total (Class A + B), Oct 2026; Yahoo's 2.205B is Class A only — 2.55B reconciles to market cap / price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Historical financials — META</t>
        </is>
      </c>
    </row>
    <row r="2" ht="18" customHeight="1">
      <c r="A2" s="2" t="inlineStr">
        <is>
          <t>$ millions. FY2022–FY2025 (fiscal years ended December 31); FY2021 column blank in source — excluded. Source: Yahoo Finance annual statements (filing-derived), as of 2026-10-19.</t>
        </is>
      </c>
    </row>
    <row r="3">
      <c r="A3" s="20" t="inlineStr"/>
      <c r="B3" s="20" t="n">
        <v>2022</v>
      </c>
      <c r="C3" s="20" t="n">
        <v>2023</v>
      </c>
      <c r="D3" s="20" t="n">
        <v>2024</v>
      </c>
      <c r="E3" s="20" t="n">
        <v>2025</v>
      </c>
    </row>
    <row r="4">
      <c r="A4" s="3" t="inlineStr">
        <is>
          <t>Total revenue</t>
        </is>
      </c>
      <c r="B4" s="21" t="n">
        <v>116609</v>
      </c>
      <c r="C4" s="21" t="n">
        <v>134902</v>
      </c>
      <c r="D4" s="21" t="n">
        <v>164501</v>
      </c>
      <c r="E4" s="21" t="n">
        <v>200966</v>
      </c>
    </row>
    <row r="5">
      <c r="A5" s="3" t="inlineStr">
        <is>
          <t>Gross profit</t>
        </is>
      </c>
      <c r="B5" s="21" t="n">
        <v>91360</v>
      </c>
      <c r="C5" s="21" t="n">
        <v>108943</v>
      </c>
      <c r="D5" s="21" t="n">
        <v>134340</v>
      </c>
      <c r="E5" s="21" t="n">
        <v>164791</v>
      </c>
    </row>
    <row r="6">
      <c r="A6" s="3" t="inlineStr">
        <is>
          <t>EBITDA</t>
        </is>
      </c>
      <c r="B6" s="21" t="n">
        <v>37690</v>
      </c>
      <c r="C6" s="21" t="n">
        <v>59052</v>
      </c>
      <c r="D6" s="21" t="n">
        <v>86876</v>
      </c>
      <c r="E6" s="21" t="n">
        <v>105713</v>
      </c>
    </row>
    <row r="7">
      <c r="A7" s="3" t="inlineStr">
        <is>
          <t>EBITDA margin</t>
        </is>
      </c>
      <c r="B7" s="16">
        <f>B6/B4</f>
        <v/>
      </c>
      <c r="C7" s="16">
        <f>C6/C4</f>
        <v/>
      </c>
      <c r="D7" s="16">
        <f>D6/D4</f>
        <v/>
      </c>
      <c r="E7" s="16">
        <f>E6/E4</f>
        <v/>
      </c>
    </row>
    <row r="8">
      <c r="A8" s="3" t="inlineStr">
        <is>
          <t>Operating income</t>
        </is>
      </c>
      <c r="B8" s="21" t="n">
        <v>29004</v>
      </c>
      <c r="C8" s="21" t="n">
        <v>47874</v>
      </c>
      <c r="D8" s="21" t="n">
        <v>71378</v>
      </c>
      <c r="E8" s="21" t="n">
        <v>87097</v>
      </c>
    </row>
    <row r="9">
      <c r="A9" s="3" t="inlineStr">
        <is>
          <t>Net income</t>
        </is>
      </c>
      <c r="B9" s="21" t="n">
        <v>23200</v>
      </c>
      <c r="C9" s="21" t="n">
        <v>39098</v>
      </c>
      <c r="D9" s="21" t="n">
        <v>62360</v>
      </c>
      <c r="E9" s="21" t="n">
        <v>60458</v>
      </c>
    </row>
    <row r="10">
      <c r="A10" s="3" t="inlineStr">
        <is>
          <t>Diluted average shares (M)</t>
        </is>
      </c>
      <c r="B10" s="21" t="n">
        <v>2702</v>
      </c>
      <c r="C10" s="21" t="n">
        <v>2629</v>
      </c>
      <c r="D10" s="21" t="n">
        <v>2614</v>
      </c>
      <c r="E10" s="21" t="n">
        <v>2574</v>
      </c>
    </row>
    <row r="11">
      <c r="A11" s="3" t="inlineStr">
        <is>
          <t>Operating cash flow</t>
        </is>
      </c>
      <c r="B11" s="21" t="n">
        <v>50475</v>
      </c>
      <c r="C11" s="21" t="n">
        <v>71113</v>
      </c>
      <c r="D11" s="21" t="n">
        <v>91328</v>
      </c>
      <c r="E11" s="21" t="n">
        <v>115800</v>
      </c>
    </row>
    <row r="12">
      <c r="A12" s="3" t="inlineStr">
        <is>
          <t>Capital expenditures</t>
        </is>
      </c>
      <c r="B12" s="21" t="n">
        <v>-31186</v>
      </c>
      <c r="C12" s="21" t="n">
        <v>-27045</v>
      </c>
      <c r="D12" s="21" t="n">
        <v>-37256</v>
      </c>
      <c r="E12" s="21" t="n">
        <v>-69691</v>
      </c>
    </row>
    <row r="13">
      <c r="A13" s="3" t="inlineStr">
        <is>
          <t>Free cash flow</t>
        </is>
      </c>
      <c r="B13" s="21" t="n">
        <v>19289</v>
      </c>
      <c r="C13" s="21" t="n">
        <v>44068</v>
      </c>
      <c r="D13" s="21" t="n">
        <v>54072</v>
      </c>
      <c r="E13" s="21" t="n">
        <v>46109</v>
      </c>
    </row>
    <row r="14">
      <c r="A14" s="3" t="inlineStr">
        <is>
          <t>Cash &amp; ST investments</t>
        </is>
      </c>
      <c r="B14" s="21" t="n">
        <v>40738</v>
      </c>
      <c r="C14" s="21" t="n">
        <v>65403</v>
      </c>
      <c r="D14" s="21" t="n">
        <v>77815</v>
      </c>
      <c r="E14" s="21" t="n">
        <v>81592</v>
      </c>
    </row>
    <row r="15">
      <c r="A15" s="3" t="inlineStr">
        <is>
          <t>Total debt</t>
        </is>
      </c>
      <c r="B15" s="21" t="n">
        <v>26591</v>
      </c>
      <c r="C15" s="21" t="n">
        <v>37234</v>
      </c>
      <c r="D15" s="21" t="n">
        <v>49060</v>
      </c>
      <c r="E15" s="21" t="n">
        <v>83897</v>
      </c>
    </row>
    <row r="16">
      <c r="A16" s="3" t="inlineStr">
        <is>
          <t>Revenue growth</t>
        </is>
      </c>
      <c r="B16" s="16" t="n"/>
      <c r="C16" s="16">
        <f>C4/B4-1</f>
        <v/>
      </c>
      <c r="D16" s="16">
        <f>D4/C4-1</f>
        <v/>
      </c>
      <c r="E16" s="16">
        <f>E4/D4-1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Meta Platforms, Inc. (META) — Discounted cash flow — base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n">
        <v>2026</v>
      </c>
      <c r="C3" s="20" t="n">
        <v>2027</v>
      </c>
      <c r="D3" s="20" t="n">
        <v>2028</v>
      </c>
      <c r="E3" s="20" t="n">
        <v>2029</v>
      </c>
      <c r="F3" s="20" t="n">
        <v>2030</v>
      </c>
    </row>
    <row r="4">
      <c r="A4" s="3" t="inlineStr">
        <is>
          <t>Revenue</t>
        </is>
      </c>
      <c r="B4" s="21">
        <f>Historicals!$E$4*(1+Assumptions!B$21)</f>
        <v/>
      </c>
      <c r="C4" s="21">
        <f>B4*(1+Assumptions!C$21)</f>
        <v/>
      </c>
      <c r="D4" s="21">
        <f>C4*(1+Assumptions!D$21)</f>
        <v/>
      </c>
      <c r="E4" s="21">
        <f>D4*(1+Assumptions!E$21)</f>
        <v/>
      </c>
      <c r="F4" s="21">
        <f>E4*(1+Assumptions!F$21)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EBITDA margin</t>
        </is>
      </c>
      <c r="B6" s="16">
        <f>Assumptions!B$24</f>
        <v/>
      </c>
      <c r="C6" s="16">
        <f>Assumptions!C$24</f>
        <v/>
      </c>
      <c r="D6" s="16">
        <f>Assumptions!D$24</f>
        <v/>
      </c>
      <c r="E6" s="16">
        <f>Assumptions!E$24</f>
        <v/>
      </c>
      <c r="F6" s="16">
        <f>Assumptions!F$24</f>
        <v/>
      </c>
    </row>
    <row r="7">
      <c r="A7" s="3" t="inlineStr">
        <is>
          <t>EBITDA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EBIT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B9*B10</f>
        <v/>
      </c>
      <c r="C11" s="21">
        <f>C9*C10</f>
        <v/>
      </c>
      <c r="D11" s="21">
        <f>D9*D10</f>
        <v/>
      </c>
      <c r="E11" s="21">
        <f>E9*E10</f>
        <v/>
      </c>
      <c r="F11" s="21">
        <f>F9*F10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Change in net working capital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Unlevered free cash flow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1/(1+Assumptions!$B$15)^1</f>
        <v/>
      </c>
      <c r="C17" s="22">
        <f>1/(1+Assumptions!$B$15)^2</f>
        <v/>
      </c>
      <c r="D17" s="22">
        <f>1/(1+Assumptions!$B$15)^3</f>
        <v/>
      </c>
      <c r="E17" s="22">
        <f>1/(1+Assumptions!$B$15)^4</f>
        <v/>
      </c>
      <c r="F17" s="22">
        <f>1/(1+Assumptions!$B$15)^5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F16*(1+Assumptions!$B$32)/(Assumptions!$B$15-Assumptions!$B$32)</f>
        <v/>
      </c>
    </row>
    <row r="21">
      <c r="A21" s="3" t="inlineStr">
        <is>
          <t>PV of terminal value</t>
        </is>
      </c>
      <c r="B21" s="21">
        <f>B20/(1+Assumptions!$B$15)^5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 (add: net cash)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Meta Platforms, Inc. (META) — Discounted cash flow — bull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n">
        <v>2026</v>
      </c>
      <c r="C3" s="20" t="n">
        <v>2027</v>
      </c>
      <c r="D3" s="20" t="n">
        <v>2028</v>
      </c>
      <c r="E3" s="20" t="n">
        <v>2029</v>
      </c>
      <c r="F3" s="20" t="n">
        <v>2030</v>
      </c>
    </row>
    <row r="4">
      <c r="A4" s="3" t="inlineStr">
        <is>
          <t>Revenue</t>
        </is>
      </c>
      <c r="B4" s="21">
        <f>Historicals!$E$4*(1+Assumptions!B$22)</f>
        <v/>
      </c>
      <c r="C4" s="21">
        <f>B4*(1+Assumptions!C$22)</f>
        <v/>
      </c>
      <c r="D4" s="21">
        <f>C4*(1+Assumptions!D$22)</f>
        <v/>
      </c>
      <c r="E4" s="21">
        <f>D4*(1+Assumptions!E$22)</f>
        <v/>
      </c>
      <c r="F4" s="21">
        <f>E4*(1+Assumptions!F$22)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EBITDA margin</t>
        </is>
      </c>
      <c r="B6" s="16">
        <f>Assumptions!B$25</f>
        <v/>
      </c>
      <c r="C6" s="16">
        <f>Assumptions!C$25</f>
        <v/>
      </c>
      <c r="D6" s="16">
        <f>Assumptions!D$25</f>
        <v/>
      </c>
      <c r="E6" s="16">
        <f>Assumptions!E$25</f>
        <v/>
      </c>
      <c r="F6" s="16">
        <f>Assumptions!F$25</f>
        <v/>
      </c>
    </row>
    <row r="7">
      <c r="A7" s="3" t="inlineStr">
        <is>
          <t>EBITDA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EBIT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B9*B10</f>
        <v/>
      </c>
      <c r="C11" s="21">
        <f>C9*C10</f>
        <v/>
      </c>
      <c r="D11" s="21">
        <f>D9*D10</f>
        <v/>
      </c>
      <c r="E11" s="21">
        <f>E9*E10</f>
        <v/>
      </c>
      <c r="F11" s="21">
        <f>F9*F10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Change in net working capital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Unlevered free cash flow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1/(1+Assumptions!$B$16)^1</f>
        <v/>
      </c>
      <c r="C17" s="22">
        <f>1/(1+Assumptions!$B$16)^2</f>
        <v/>
      </c>
      <c r="D17" s="22">
        <f>1/(1+Assumptions!$B$16)^3</f>
        <v/>
      </c>
      <c r="E17" s="22">
        <f>1/(1+Assumptions!$B$16)^4</f>
        <v/>
      </c>
      <c r="F17" s="22">
        <f>1/(1+Assumptions!$B$16)^5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F16*(1+Assumptions!$B$33)/(Assumptions!$B$16-Assumptions!$B$33)</f>
        <v/>
      </c>
    </row>
    <row r="21">
      <c r="A21" s="3" t="inlineStr">
        <is>
          <t>PV of terminal value</t>
        </is>
      </c>
      <c r="B21" s="21">
        <f>B20/(1+Assumptions!$B$16)^5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 (add: net cash)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Meta Platforms, Inc. (META) — Discounted cash flow — bear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n">
        <v>2026</v>
      </c>
      <c r="C3" s="20" t="n">
        <v>2027</v>
      </c>
      <c r="D3" s="20" t="n">
        <v>2028</v>
      </c>
      <c r="E3" s="20" t="n">
        <v>2029</v>
      </c>
      <c r="F3" s="20" t="n">
        <v>2030</v>
      </c>
    </row>
    <row r="4">
      <c r="A4" s="3" t="inlineStr">
        <is>
          <t>Revenue</t>
        </is>
      </c>
      <c r="B4" s="21">
        <f>Historicals!$E$4*(1+Assumptions!B$23)</f>
        <v/>
      </c>
      <c r="C4" s="21">
        <f>B4*(1+Assumptions!C$23)</f>
        <v/>
      </c>
      <c r="D4" s="21">
        <f>C4*(1+Assumptions!D$23)</f>
        <v/>
      </c>
      <c r="E4" s="21">
        <f>D4*(1+Assumptions!E$23)</f>
        <v/>
      </c>
      <c r="F4" s="21">
        <f>E4*(1+Assumptions!F$23)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EBITDA margin</t>
        </is>
      </c>
      <c r="B6" s="16">
        <f>Assumptions!B$26</f>
        <v/>
      </c>
      <c r="C6" s="16">
        <f>Assumptions!C$26</f>
        <v/>
      </c>
      <c r="D6" s="16">
        <f>Assumptions!D$26</f>
        <v/>
      </c>
      <c r="E6" s="16">
        <f>Assumptions!E$26</f>
        <v/>
      </c>
      <c r="F6" s="16">
        <f>Assumptions!F$26</f>
        <v/>
      </c>
    </row>
    <row r="7">
      <c r="A7" s="3" t="inlineStr">
        <is>
          <t>EBITDA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EBIT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B9*B10</f>
        <v/>
      </c>
      <c r="C11" s="21">
        <f>C9*C10</f>
        <v/>
      </c>
      <c r="D11" s="21">
        <f>D9*D10</f>
        <v/>
      </c>
      <c r="E11" s="21">
        <f>E9*E10</f>
        <v/>
      </c>
      <c r="F11" s="21">
        <f>F9*F10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Change in net working capital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Unlevered free cash flow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1/(1+Assumptions!$B$17)^1</f>
        <v/>
      </c>
      <c r="C17" s="22">
        <f>1/(1+Assumptions!$B$17)^2</f>
        <v/>
      </c>
      <c r="D17" s="22">
        <f>1/(1+Assumptions!$B$17)^3</f>
        <v/>
      </c>
      <c r="E17" s="22">
        <f>1/(1+Assumptions!$B$17)^4</f>
        <v/>
      </c>
      <c r="F17" s="22">
        <f>1/(1+Assumptions!$B$17)^5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F16*(1+Assumptions!$B$34)/(Assumptions!$B$17-Assumptions!$B$34)</f>
        <v/>
      </c>
    </row>
    <row r="21">
      <c r="A21" s="3" t="inlineStr">
        <is>
          <t>PV of terminal value</t>
        </is>
      </c>
      <c r="B21" s="21">
        <f>B20/(1+Assumptions!$B$17)^5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 (add: net cash)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6" max="6"/>
  </cols>
  <sheetData>
    <row r="1" ht="24" customHeight="1">
      <c r="A1" s="1" t="inlineStr">
        <is>
          <t>Comparable companies — META vs Consumer Tech peers</t>
        </is>
      </c>
    </row>
    <row r="2" ht="18" customHeight="1">
      <c r="A2" s="2" t="inlineStr">
        <is>
          <t>Market data as of Oct 16, 2026 closes (Yahoo Finance). $ millions, except price and per-share.</t>
        </is>
      </c>
    </row>
    <row r="3">
      <c r="A3" s="20" t="inlineStr"/>
      <c r="B3" s="20" t="inlineStr">
        <is>
          <t>META</t>
        </is>
      </c>
      <c r="C3" s="20" t="inlineStr">
        <is>
          <t>AAPL</t>
        </is>
      </c>
      <c r="D3" s="20" t="inlineStr">
        <is>
          <t>AMZN</t>
        </is>
      </c>
      <c r="E3" s="20" t="inlineStr">
        <is>
          <t>GOOGL</t>
        </is>
      </c>
    </row>
    <row r="4">
      <c r="A4" s="3" t="inlineStr">
        <is>
          <t>Price ($)</t>
        </is>
      </c>
      <c r="B4" s="23" t="n">
        <v>709.33</v>
      </c>
      <c r="C4" s="23" t="n">
        <v>343.46</v>
      </c>
      <c r="D4" s="23" t="n">
        <v>250</v>
      </c>
      <c r="E4" s="23" t="n">
        <v>340.59</v>
      </c>
    </row>
    <row r="5">
      <c r="A5" s="3" t="inlineStr">
        <is>
          <t>Market cap ($M)</t>
        </is>
      </c>
      <c r="B5" s="21" t="n">
        <v>1808792</v>
      </c>
      <c r="C5" s="21" t="n">
        <v>5012536</v>
      </c>
      <c r="D5" s="21" t="n">
        <v>2696578</v>
      </c>
      <c r="E5" s="21" t="n">
        <v>4165416</v>
      </c>
    </row>
    <row r="6">
      <c r="A6" s="3" t="inlineStr">
        <is>
          <t>Enterprise value ($M)</t>
        </is>
      </c>
      <c r="B6" s="21" t="n">
        <v>1830850</v>
      </c>
      <c r="C6" s="21" t="n">
        <v>5034481</v>
      </c>
      <c r="D6" s="21" t="n">
        <v>2763377</v>
      </c>
      <c r="E6" s="21" t="n">
        <v>4035698</v>
      </c>
    </row>
    <row r="7">
      <c r="A7" s="3" t="inlineStr">
        <is>
          <t>Revenue, TTM ($M)</t>
        </is>
      </c>
      <c r="B7" s="21" t="n">
        <v>228247</v>
      </c>
      <c r="C7" s="21" t="n">
        <v>466823</v>
      </c>
      <c r="D7" s="21" t="n">
        <v>775680</v>
      </c>
      <c r="E7" s="21" t="n">
        <v>445866</v>
      </c>
    </row>
    <row r="8">
      <c r="A8" s="3" t="inlineStr">
        <is>
          <t>EBITDA, TTM ($M)</t>
        </is>
      </c>
      <c r="B8" s="21" t="n">
        <v>109655</v>
      </c>
      <c r="C8" s="21" t="n">
        <v>167959</v>
      </c>
      <c r="D8" s="21" t="n">
        <v>168912</v>
      </c>
      <c r="E8" s="21" t="n">
        <v>173164</v>
      </c>
    </row>
    <row r="9">
      <c r="A9" s="3" t="inlineStr">
        <is>
          <t>Trailing EPS ($)</t>
        </is>
      </c>
      <c r="B9" s="23" t="n">
        <v>26.54</v>
      </c>
      <c r="C9" s="23" t="n">
        <v>8.720000000000001</v>
      </c>
      <c r="D9" s="23" t="n">
        <v>12.43</v>
      </c>
      <c r="E9" s="23" t="n">
        <v>19.93</v>
      </c>
    </row>
    <row r="10">
      <c r="A10" s="3" t="inlineStr">
        <is>
          <t>Forward EPS ($)</t>
        </is>
      </c>
      <c r="B10" s="23" t="n">
        <v>34.62667</v>
      </c>
      <c r="C10" s="23" t="n">
        <v>9.57785</v>
      </c>
      <c r="D10" s="23" t="n">
        <v>10.44315</v>
      </c>
      <c r="E10" s="23" t="n">
        <v>15.29162</v>
      </c>
    </row>
    <row r="11">
      <c r="A11" s="3" t="inlineStr">
        <is>
          <t>EV / Revenue</t>
        </is>
      </c>
      <c r="B11" s="24">
        <f>B6/B7</f>
        <v/>
      </c>
      <c r="C11" s="24">
        <f>C6/C7</f>
        <v/>
      </c>
      <c r="D11" s="24">
        <f>D6/D7</f>
        <v/>
      </c>
      <c r="E11" s="24">
        <f>E6/E7</f>
        <v/>
      </c>
    </row>
    <row r="12">
      <c r="A12" s="3" t="inlineStr">
        <is>
          <t>EV / EBITDA</t>
        </is>
      </c>
      <c r="B12" s="24">
        <f>B6/B8</f>
        <v/>
      </c>
      <c r="C12" s="24">
        <f>C6/C8</f>
        <v/>
      </c>
      <c r="D12" s="24">
        <f>D6/D8</f>
        <v/>
      </c>
      <c r="E12" s="24">
        <f>E6/E8</f>
        <v/>
      </c>
    </row>
    <row r="13">
      <c r="A13" s="3" t="inlineStr">
        <is>
          <t>Trailing P/E</t>
        </is>
      </c>
      <c r="B13" s="24">
        <f>B4/B9</f>
        <v/>
      </c>
      <c r="C13" s="24">
        <f>C4/C9</f>
        <v/>
      </c>
      <c r="D13" s="24">
        <f>D4/D9</f>
        <v/>
      </c>
      <c r="E13" s="24">
        <f>E4/E9</f>
        <v/>
      </c>
    </row>
    <row r="14">
      <c r="A14" s="3" t="inlineStr">
        <is>
          <t>Forward P/E</t>
        </is>
      </c>
      <c r="B14" s="24">
        <f>B4/B10</f>
        <v/>
      </c>
      <c r="C14" s="24">
        <f>C4/C10</f>
        <v/>
      </c>
      <c r="D14" s="24">
        <f>D4/D10</f>
        <v/>
      </c>
      <c r="E14" s="24">
        <f>E4/E10</f>
        <v/>
      </c>
    </row>
    <row r="16">
      <c r="A16" s="10" t="inlineStr">
        <is>
          <t>META implied valuation from peer medians</t>
        </is>
      </c>
    </row>
    <row r="17">
      <c r="A17" s="3" t="inlineStr">
        <is>
          <t>Median peer EV / Revenue</t>
        </is>
      </c>
      <c r="B17" s="24">
        <f>MEDIAN(C11:E11)</f>
        <v/>
      </c>
    </row>
    <row r="18">
      <c r="A18" s="3" t="inlineStr">
        <is>
          <t>Implied EV ($M)</t>
        </is>
      </c>
      <c r="B18" s="21">
        <f>B17*B7</f>
        <v/>
      </c>
    </row>
    <row r="19">
      <c r="A19" s="3" t="inlineStr">
        <is>
          <t>Less: Net debt ($M)</t>
        </is>
      </c>
      <c r="B19" s="21">
        <f>Assumptions!$B$35</f>
        <v/>
      </c>
    </row>
    <row r="20">
      <c r="A20" s="7" t="inlineStr">
        <is>
          <t>Implied per share — EV/Revenue ($)</t>
        </is>
      </c>
      <c r="B20" s="23">
        <f>(B18-B19)/Assumptions!$B$36</f>
        <v/>
      </c>
    </row>
    <row r="22">
      <c r="A22" s="3" t="inlineStr">
        <is>
          <t>Median peer EV / EBITDA</t>
        </is>
      </c>
      <c r="B22" s="24">
        <f>MEDIAN(C12:E12)</f>
        <v/>
      </c>
    </row>
    <row r="23">
      <c r="A23" s="3" t="inlineStr">
        <is>
          <t>Implied EV ($M)</t>
        </is>
      </c>
      <c r="B23" s="21">
        <f>B22*B8</f>
        <v/>
      </c>
    </row>
    <row r="24">
      <c r="A24" s="7" t="inlineStr">
        <is>
          <t>Implied per share — EV/EBITDA ($)</t>
        </is>
      </c>
      <c r="B24" s="23">
        <f>(B23-Assumptions!$B$35)/Assumptions!$B$36</f>
        <v/>
      </c>
    </row>
    <row r="26">
      <c r="A26" s="3" t="inlineStr">
        <is>
          <t>Median peer forward P/E</t>
        </is>
      </c>
      <c r="B26" s="24">
        <f>MEDIAN(C14:E14)</f>
        <v/>
      </c>
    </row>
    <row r="27">
      <c r="A27" s="3" t="inlineStr">
        <is>
          <t>META forward EPS ($)</t>
        </is>
      </c>
      <c r="B27" s="23">
        <f>B10</f>
        <v/>
      </c>
    </row>
    <row r="28">
      <c r="A28" s="10" t="inlineStr">
        <is>
          <t>Implied per share — forward P/E ($)</t>
        </is>
      </c>
      <c r="B28" s="23">
        <f>B26*B27</f>
        <v/>
      </c>
      <c r="C28" s="25" t="inlineStr">
        <is>
          <t>Forward P/E is the operative lens: peer multiples argue the ad franchise is fairly priced — the DCF gap is the market's refusal to discount the AI capex cycle and Reality Labs burn.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0" customWidth="1" min="2" max="2"/>
    <col width="12" customWidth="1" min="3" max="3"/>
    <col width="10" customWidth="1" min="4" max="4"/>
  </cols>
  <sheetData>
    <row r="1" ht="24" customHeight="1">
      <c r="A1" s="1" t="inlineStr">
        <is>
          <t>Verification appendix</t>
        </is>
      </c>
    </row>
    <row r="2" ht="18" customHeight="1">
      <c r="A2" s="2" t="inlineStr">
        <is>
          <t>Tie-outs and data provenance. Every [DATA] input is sourced; every [JUDGMENT] input carries a rationale on Assumptions.</t>
        </is>
      </c>
    </row>
    <row r="3">
      <c r="A3" s="20" t="inlineStr">
        <is>
          <t>Check</t>
        </is>
      </c>
      <c r="B3" s="20" t="inlineStr">
        <is>
          <t>Detail</t>
        </is>
      </c>
      <c r="C3" s="20" t="inlineStr">
        <is>
          <t>Status</t>
        </is>
      </c>
      <c r="D3" s="20" t="n"/>
    </row>
    <row r="4" ht="30" customHeight="1">
      <c r="A4" s="26" t="inlineStr">
        <is>
          <t>Net income ties across statements</t>
        </is>
      </c>
      <c r="B4" s="8" t="inlineStr">
        <is>
          <t>Income-statement net income = cash-flow starting net income for FY2022–2025 (max diff $0.0M); FY2021 column blank in source — excluded</t>
        </is>
      </c>
      <c r="C4" s="27" t="inlineStr">
        <is>
          <t>PASS</t>
        </is>
      </c>
    </row>
    <row r="5" ht="30" customHeight="1">
      <c r="A5" s="26" t="inlineStr">
        <is>
          <t>Revenue sourced from filings</t>
        </is>
      </c>
      <c r="B5" s="8" t="inlineStr">
        <is>
          <t>FY2022–2025 total revenue 116,609 / 134,902 / 164,501 / 200,966 ($M), fiscal years ended December (Yahoo Finance annual income statement)</t>
        </is>
      </c>
      <c r="C5" s="27" t="inlineStr">
        <is>
          <t>PASS</t>
        </is>
      </c>
    </row>
    <row r="6" ht="30" customHeight="1">
      <c r="A6" s="26" t="inlineStr">
        <is>
          <t>Share count</t>
        </is>
      </c>
      <c r="B6" s="8" t="inlineStr">
        <is>
          <t>2,550M total outstanding (stockanalysis.com, Oct 2026, Class A + B); Yahoo's 2,205.1M is Class A only; 2.55B reconciles to market cap ÷ price</t>
        </is>
      </c>
      <c r="C6" s="27" t="inlineStr">
        <is>
          <t>PASS</t>
        </is>
      </c>
    </row>
    <row r="7" ht="30" customHeight="1">
      <c r="A7" s="26" t="inlineStr">
        <is>
          <t>Net debt bridge</t>
        </is>
      </c>
      <c r="B7" s="8" t="inlineStr">
        <is>
          <t>Q2 2026 balance sheet (Jun 2026): total debt $112,318M less cash $15,462M and ST investments $74,798M = net debt $22,058M</t>
        </is>
      </c>
      <c r="C7" s="27" t="inlineStr">
        <is>
          <t>PASS</t>
        </is>
      </c>
    </row>
    <row r="8" ht="30" customHeight="1">
      <c r="A8" s="26" t="inlineStr">
        <is>
          <t>Beta</t>
        </is>
      </c>
      <c r="B8" s="8" t="inlineStr">
        <is>
          <t>1.19 (Yahoo Finance 1.185, 2026-10-19); cross-checked 1.19 (stockanalysis.com, 5Y) and 1.19 (MarketBeat)</t>
        </is>
      </c>
      <c r="C8" s="27" t="inlineStr">
        <is>
          <t>PASS</t>
        </is>
      </c>
    </row>
    <row r="9" ht="30" customHeight="1">
      <c r="A9" s="26" t="inlineStr">
        <is>
          <t>Risk-free rate</t>
        </is>
      </c>
      <c r="B9" s="8" t="inlineStr">
        <is>
          <t>US 10Y 5.085% on 2026-10-19 (Reuters); used 5.1% (shared framework)</t>
        </is>
      </c>
      <c r="C9" s="27" t="inlineStr">
        <is>
          <t>PASS</t>
        </is>
      </c>
    </row>
    <row r="10" ht="30" customHeight="1">
      <c r="A10" s="26" t="inlineStr">
        <is>
          <t>Segment mix verified</t>
        </is>
      </c>
      <c r="B10" s="8" t="inlineStr">
        <is>
          <t>FY2025: Family of Apps $198.8B revenue / $102.5B op income (51.6% margin); Reality Labs $2.21B revenue / –$19.19B op loss (Meta Q4 2025 release)</t>
        </is>
      </c>
      <c r="C10" s="27" t="inlineStr">
        <is>
          <t>PASS</t>
        </is>
      </c>
    </row>
    <row r="11" ht="30" customHeight="1">
      <c r="A11" s="26" t="inlineStr">
        <is>
          <t>Comps market data as-of</t>
        </is>
      </c>
      <c r="B11" s="8" t="inlineStr">
        <is>
          <t>AAPL / AMZN / META / GOOGL Oct 16, 2026 closes from Yahoo Finance 1-mo history; EVs = Oct-16 market cap + latest-quarter net debt</t>
        </is>
      </c>
      <c r="C11" s="27" t="inlineStr">
        <is>
          <t>PASS</t>
        </is>
      </c>
    </row>
    <row r="12" ht="30" customHeight="1">
      <c r="A12" s="26" t="inlineStr">
        <is>
          <t>FCF bridge reconciles</t>
        </is>
      </c>
      <c r="B12" s="8" t="inlineStr">
        <is>
          <t>Formula check: EV = sum of PV of FCF + PV of terminal value</t>
        </is>
      </c>
      <c r="C12" s="27">
        <f>IF(ABS(DCF_Base!B22-(DCF_Base!B19+DCF_Base!B21))&lt;0.5,"PASS","FAIL")</f>
        <v/>
      </c>
    </row>
    <row r="13" ht="30" customHeight="1">
      <c r="A13" s="26" t="inlineStr">
        <is>
          <t>Per-share arithmetic</t>
        </is>
      </c>
      <c r="B13" s="8" t="inlineStr">
        <is>
          <t>Formula check: per-share = equity value / shares</t>
        </is>
      </c>
      <c r="C13" s="27">
        <f>IF(ABS(DCF_Base!B26-DCF_Base!B24/DCF_Base!B25)&lt;0.01,"PASS","FAIL")</f>
        <v/>
      </c>
    </row>
    <row r="14" ht="30" customHeight="1">
      <c r="A14" s="26" t="inlineStr">
        <is>
          <t>DCF vs market gap is explainable</t>
        </is>
      </c>
      <c r="B14" s="8" t="inlineStr">
        <is>
          <t>Base per-share trails $709.33 because the quote implies ~6.4% perpetual FCF growth (my arithmetic); peer forward P/E implies ~$828 — the market prices the ad franchise and assigns zero cost to the $115–135B capex guide and the Reality Labs burn</t>
        </is>
      </c>
      <c r="C14" s="27" t="inlineStr">
        <is>
          <t>PASS</t>
        </is>
      </c>
    </row>
    <row r="15" ht="30" customHeight="1">
      <c r="A15" s="26" t="inlineStr">
        <is>
          <t>Q3 2026 earnings in two days</t>
        </is>
      </c>
      <c r="B15" s="8" t="inlineStr">
        <is>
          <t>META reports Q3 2026 on Oct 21, 2026 — the next catalyst; this model is pre-earnings</t>
        </is>
      </c>
      <c r="C15" s="27" t="inlineStr">
        <is>
          <t>PASS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60" customWidth="1" min="3" max="3"/>
    <col width="14" customWidth="1" min="4" max="4"/>
    <col width="44" customWidth="1" min="5" max="5"/>
  </cols>
  <sheetData>
    <row r="1" ht="24" customHeight="1">
      <c r="A1" s="1" t="inlineStr">
        <is>
          <t>Sources</t>
        </is>
      </c>
    </row>
    <row r="2" ht="18" customHeight="1">
      <c r="A2" s="2" t="inlineStr">
        <is>
          <t>Full URLs and access dates for every external input.</t>
        </is>
      </c>
    </row>
    <row r="3">
      <c r="A3" s="20" t="inlineStr">
        <is>
          <t>#</t>
        </is>
      </c>
      <c r="B3" s="20" t="inlineStr">
        <is>
          <t>Source</t>
        </is>
      </c>
      <c r="C3" s="20" t="inlineStr">
        <is>
          <t>URL</t>
        </is>
      </c>
      <c r="D3" s="20" t="inlineStr">
        <is>
          <t>Accessed</t>
        </is>
      </c>
      <c r="E3" s="20" t="inlineStr">
        <is>
          <t>Used for</t>
        </is>
      </c>
    </row>
    <row r="4" ht="28" customHeight="1">
      <c r="A4" s="28" t="n">
        <v>1</v>
      </c>
      <c r="B4" s="8" t="inlineStr">
        <is>
          <t>Yahoo Finance — META quote &amp; financials</t>
        </is>
      </c>
      <c r="C4" s="29" t="inlineStr">
        <is>
          <t>https://finance.yahoo.com/quote/META</t>
        </is>
      </c>
      <c r="D4" s="28" t="inlineStr">
        <is>
          <t>2026-10-19</t>
        </is>
      </c>
      <c r="E4" s="8" t="inlineStr">
        <is>
          <t>Price, beta, shares, annual/quarterly statements, Oct-16 close</t>
        </is>
      </c>
    </row>
    <row r="5" ht="28" customHeight="1">
      <c r="A5" s="28" t="n">
        <v>2</v>
      </c>
      <c r="B5" s="8" t="inlineStr">
        <is>
          <t>Yahoo Finance — AAPL</t>
        </is>
      </c>
      <c r="C5" s="29" t="inlineStr">
        <is>
          <t>https://finance.yahoo.com/quote/AAPL</t>
        </is>
      </c>
      <c r="D5" s="28" t="inlineStr">
        <is>
          <t>2026-10-19</t>
        </is>
      </c>
      <c r="E5" s="8" t="inlineStr">
        <is>
          <t>Comps market data</t>
        </is>
      </c>
    </row>
    <row r="6" ht="28" customHeight="1">
      <c r="A6" s="28" t="n">
        <v>3</v>
      </c>
      <c r="B6" s="8" t="inlineStr">
        <is>
          <t>Yahoo Finance — AMZN</t>
        </is>
      </c>
      <c r="C6" s="29" t="inlineStr">
        <is>
          <t>https://finance.yahoo.com/quote/AMZN</t>
        </is>
      </c>
      <c r="D6" s="28" t="inlineStr">
        <is>
          <t>2026-10-19</t>
        </is>
      </c>
      <c r="E6" s="8" t="inlineStr">
        <is>
          <t>Comps market data</t>
        </is>
      </c>
    </row>
    <row r="7" ht="28" customHeight="1">
      <c r="A7" s="28" t="n">
        <v>4</v>
      </c>
      <c r="B7" s="8" t="inlineStr">
        <is>
          <t>Yahoo Finance — GOOGL</t>
        </is>
      </c>
      <c r="C7" s="29" t="inlineStr">
        <is>
          <t>https://finance.yahoo.com/quote/GOOGL</t>
        </is>
      </c>
      <c r="D7" s="28" t="inlineStr">
        <is>
          <t>2026-10-19</t>
        </is>
      </c>
      <c r="E7" s="8" t="inlineStr">
        <is>
          <t>Comps market data</t>
        </is>
      </c>
    </row>
    <row r="8" ht="28" customHeight="1">
      <c r="A8" s="28" t="n">
        <v>5</v>
      </c>
      <c r="B8" s="8" t="inlineStr">
        <is>
          <t>Reuters — 10Y yield 5.085% on Oct 19, 2026</t>
        </is>
      </c>
      <c r="C8" s="29" t="inlineStr">
        <is>
          <t>https://www.reuters.com/business/wall-st-futures-climb-ai-stocks-rebound-oil-yields-fall-2026-10-19/</t>
        </is>
      </c>
      <c r="D8" s="28" t="inlineStr">
        <is>
          <t>2026-10-19</t>
        </is>
      </c>
      <c r="E8" s="8" t="inlineStr">
        <is>
          <t>Risk-free rate</t>
        </is>
      </c>
    </row>
    <row r="9" ht="28" customHeight="1">
      <c r="A9" s="28" t="n">
        <v>6</v>
      </c>
      <c r="B9" s="8" t="inlineStr">
        <is>
          <t>stockanalysis.com — META overview</t>
        </is>
      </c>
      <c r="C9" s="29" t="inlineStr">
        <is>
          <t>https://StockAnalysis.com/stocks/meta/</t>
        </is>
      </c>
      <c r="D9" s="28" t="inlineStr">
        <is>
          <t>2026-10-19</t>
        </is>
      </c>
      <c r="E9" s="8" t="inlineStr">
        <is>
          <t>Beta 1.19 (5Y), shares outstanding 2.55B, Oct-16 price $709.33 cross-check</t>
        </is>
      </c>
    </row>
    <row r="10" ht="28" customHeight="1">
      <c r="A10" s="28" t="n">
        <v>7</v>
      </c>
      <c r="B10" s="8" t="inlineStr">
        <is>
          <t>Meta — Q4/FY2025 results release</t>
        </is>
      </c>
      <c r="C10" s="29" t="inlineStr">
        <is>
          <t>https://investor.atmeta.com/investor-news/press-release-details/2026/Meta-Reports-Fourth-Quarter-and-Full-Year-2025-Results/default.aspx?ref=wheresyoured.at</t>
        </is>
      </c>
      <c r="D10" s="28" t="inlineStr">
        <is>
          <t>2026-10-19</t>
        </is>
      </c>
      <c r="E10" s="8" t="inlineStr">
        <is>
          <t>FY2025 segments: FoA $198.8B / $102.5B op income; RL $2.21B / –$19.2B; 2026 capex $115–135B; RL losses 'similar' in 2026</t>
        </is>
      </c>
    </row>
    <row r="11" ht="28" customHeight="1">
      <c r="A11" s="28" t="n">
        <v>8</v>
      </c>
      <c r="B11" s="8" t="inlineStr">
        <is>
          <t>Panabee — Meta 2025 annual earnings analysis</t>
        </is>
      </c>
      <c r="C11" s="29" t="inlineStr">
        <is>
          <t>https://www.panabee.com/news/meta-platforms-earnings-2025-annual</t>
        </is>
      </c>
      <c r="D11" s="28" t="inlineStr">
        <is>
          <t>2026-10-19</t>
        </is>
      </c>
      <c r="E11" s="8" t="inlineStr">
        <is>
          <t>EU 'subscription for no ads' ruled illegal (Apr 2025); OBBBA $14.0B tax valuation-allowance charge</t>
        </is>
      </c>
    </row>
  </sheetData>
  <mergeCells count="2">
    <mergeCell ref="A1:D1"/>
    <mergeCell ref="A2:D2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2026-10-19T15:35:46+00:00Z</dcterms:created>
  <dcterms:modified xmlns:dcterms="http://purl.org/dc/terms/" xmlns:xsi="http://www.w3.org/2001/XMLSchema-instance" xsi:type="dcterms:W3CDTF">2026-10-19T15:35:46+00:00Z</dcterms:modified>
</cp:coreProperties>
</file>