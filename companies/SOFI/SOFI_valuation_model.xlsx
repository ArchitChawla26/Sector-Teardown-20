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11" fillId="5" borderId="0" applyAlignment="1" pivotButton="0" quotePrefix="0" xfId="0">
      <alignment horizontal="center" vertical="center" wrapText="1"/>
    </xf>
    <xf numFmtId="164" fontId="0" fillId="6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finance.yahoo.com/quote/SOFI" TargetMode="External" Id="rId1"/><Relationship Type="http://schemas.openxmlformats.org/officeDocument/2006/relationships/hyperlink" Target="https://finance.yahoo.com/quote/HOOD" TargetMode="External" Id="rId2"/><Relationship Type="http://schemas.openxmlformats.org/officeDocument/2006/relationships/hyperlink" Target="https://finance.yahoo.com/quote/COIN" TargetMode="External" Id="rId3"/><Relationship Type="http://schemas.openxmlformats.org/officeDocument/2006/relationships/hyperlink" Target="https://finance.yahoo.com/quote/SCHW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www.tickerreport.com/banking-finance/13625121/sofi-technologies-inc-nasdaqsofi-stock-has-consensus-price-target-of-22-20.html" TargetMode="External" Id="rId6"/><Relationship Type="http://schemas.openxmlformats.org/officeDocument/2006/relationships/hyperlink" Target="https://finnhub.io/?q=%22SOFI%2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— SoFi Technologies, Inc. (NASDAQ: SOFI)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14.55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A fast-growing digital bank whose 13.9% WACC and balance-sheet reinvestment needs keep equity value below the quote — even the bull case clears the price by less than 20%.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HOOD, COIN, SOFI, SCHW multiples and implied ranges</t>
        </is>
      </c>
    </row>
    <row r="13">
      <c r="A13" s="7" t="inlineStr">
        <is>
          <t>Sensitivity</t>
        </is>
      </c>
      <c r="B13" s="8" t="inlineStr">
        <is>
          <t>Base-case per-share value vs WACC and terminal growth</t>
        </is>
      </c>
    </row>
    <row r="14">
      <c r="A14" s="7" t="inlineStr">
        <is>
          <t>Checks</t>
        </is>
      </c>
      <c r="B14" s="8" t="inlineStr">
        <is>
          <t>Verification appendix: tie-outs and data sources</t>
        </is>
      </c>
    </row>
    <row r="15">
      <c r="A15" s="7" t="inlineStr">
        <is>
          <t>Sources</t>
        </is>
      </c>
      <c r="B15" s="8" t="inlineStr">
        <is>
          <t>Full URLs and access dates</t>
        </is>
      </c>
    </row>
    <row r="17">
      <c r="A17" s="9" t="inlineStr">
        <is>
          <t>Disclaimer: Independent project for skill demonstration; not investment advice.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5.1% on 2026-10-19 (verified for the sector project)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(SOFI)</t>
        </is>
      </c>
      <c r="B6" s="15" t="n">
        <v>2.33</v>
      </c>
      <c r="C6" s="12" t="inlineStr">
        <is>
          <t>[DATA]</t>
        </is>
      </c>
      <c r="D6" s="13" t="inlineStr">
        <is>
          <t>Yahoo Finance 2026-10-19; cross-checked 2.33 (MarketBeat), 2.29 (Finnhub)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0.06</v>
      </c>
      <c r="C8" s="14" t="inlineStr">
        <is>
          <t>[JUDGMENT]</t>
        </is>
      </c>
      <c r="D8" s="13" t="inlineStr">
        <is>
          <t>Through-cycle est. for bank holdco; corporate debt small vs deposits (operating liabilities)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statutory; 2024 carried a –$265M valuation-allowance tax benefit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18792.8</v>
      </c>
      <c r="C11" s="12" t="inlineStr">
        <is>
          <t>[DATA]</t>
        </is>
      </c>
      <c r="D11" s="13" t="inlineStr">
        <is>
          <t>Yahoo Finance / MarketBeat 2026-10-19: $14.55 × 1291.6M shares (per-share basis)</t>
        </is>
      </c>
    </row>
    <row r="12">
      <c r="A12" s="3" t="inlineStr">
        <is>
          <t>Book value of debt ($M)</t>
        </is>
      </c>
      <c r="B12" s="18" t="n">
        <v>3405.1</v>
      </c>
      <c r="C12" s="12" t="inlineStr">
        <is>
          <t>[DATA]</t>
        </is>
      </c>
      <c r="D12" s="13" t="inlineStr">
        <is>
          <t>Q2 2026 balance sheet (Yahoo Finance)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(2026–2030)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0.28</v>
      </c>
      <c r="C21" s="11" t="n">
        <v>0.24</v>
      </c>
      <c r="D21" s="11" t="n">
        <v>0.2</v>
      </c>
      <c r="E21" s="11" t="n">
        <v>0.16</v>
      </c>
      <c r="F21" s="11" t="n">
        <v>0.13</v>
      </c>
      <c r="G21" s="14" t="inlineStr">
        <is>
          <t>[JUDGMENT]</t>
        </is>
      </c>
      <c r="H21" s="13" t="inlineStr">
        <is>
          <t>Tapering from 38.3% (2025); lending, deposits and fee income scale; 5-yr CAGR ~20.1%</t>
        </is>
      </c>
    </row>
    <row r="22">
      <c r="A22" s="3" t="inlineStr">
        <is>
          <t>Revenue growth — bull</t>
        </is>
      </c>
      <c r="B22" s="11" t="n">
        <v>0.32</v>
      </c>
      <c r="C22" s="11" t="n">
        <v>0.28</v>
      </c>
      <c r="D22" s="11" t="n">
        <v>0.24</v>
      </c>
      <c r="E22" s="11" t="n">
        <v>0.2</v>
      </c>
      <c r="F22" s="11" t="n">
        <v>0.16</v>
      </c>
      <c r="G22" s="14" t="inlineStr">
        <is>
          <t>[JUDGMENT]</t>
        </is>
      </c>
      <c r="H22" s="13" t="inlineStr">
        <is>
          <t>Durable 25%+ compounder; credit stays benign</t>
        </is>
      </c>
    </row>
    <row r="23">
      <c r="A23" s="3" t="inlineStr">
        <is>
          <t>Revenue growth — bear</t>
        </is>
      </c>
      <c r="B23" s="11" t="n">
        <v>0.18</v>
      </c>
      <c r="C23" s="11" t="n">
        <v>0.12</v>
      </c>
      <c r="D23" s="11" t="n">
        <v>0.08</v>
      </c>
      <c r="E23" s="11" t="n">
        <v>0.05</v>
      </c>
      <c r="F23" s="11" t="n">
        <v>0.03</v>
      </c>
      <c r="G23" s="14" t="inlineStr">
        <is>
          <t>[JUDGMENT]</t>
        </is>
      </c>
      <c r="H23" s="13" t="inlineStr">
        <is>
          <t>Credit normalization and deposit competition compress growth</t>
        </is>
      </c>
    </row>
    <row r="24">
      <c r="A24" s="3" t="inlineStr">
        <is>
          <t>Op. margin (pretax+D&amp;A) — base</t>
        </is>
      </c>
      <c r="B24" s="11" t="n">
        <v>0.23</v>
      </c>
      <c r="C24" s="11" t="n">
        <v>0.26</v>
      </c>
      <c r="D24" s="11" t="n">
        <v>0.29</v>
      </c>
      <c r="E24" s="11" t="n">
        <v>0.31</v>
      </c>
      <c r="F24" s="11" t="n">
        <v>0.33</v>
      </c>
      <c r="G24" s="14" t="inlineStr">
        <is>
          <t>[JUDGMENT]</t>
        </is>
      </c>
      <c r="H24" s="13" t="inlineStr">
        <is>
          <t>2025: 21.0% (pretax+D&amp;A); operating leverage as credit costs normalize</t>
        </is>
      </c>
    </row>
    <row r="25">
      <c r="A25" s="3" t="inlineStr">
        <is>
          <t>Op. margin (pretax+D&amp;A) — bull</t>
        </is>
      </c>
      <c r="B25" s="11" t="n">
        <v>0.25</v>
      </c>
      <c r="C25" s="11" t="n">
        <v>0.29</v>
      </c>
      <c r="D25" s="11" t="n">
        <v>0.32</v>
      </c>
      <c r="E25" s="11" t="n">
        <v>0.35</v>
      </c>
      <c r="F25" s="11" t="n">
        <v>0.37</v>
      </c>
      <c r="G25" s="14" t="inlineStr">
        <is>
          <t>[JUDGMENT]</t>
        </is>
      </c>
      <c r="H25" s="13" t="inlineStr">
        <is>
          <t>Faster operating leverage</t>
        </is>
      </c>
    </row>
    <row r="26">
      <c r="A26" s="3" t="inlineStr">
        <is>
          <t>Op. margin (pretax+D&amp;A) — bear</t>
        </is>
      </c>
      <c r="B26" s="11" t="n">
        <v>0.18</v>
      </c>
      <c r="C26" s="11" t="n">
        <v>0.2</v>
      </c>
      <c r="D26" s="11" t="n">
        <v>0.22</v>
      </c>
      <c r="E26" s="11" t="n">
        <v>0.23</v>
      </c>
      <c r="F26" s="11" t="n">
        <v>0.24</v>
      </c>
      <c r="G26" s="14" t="inlineStr">
        <is>
          <t>[JUDGMENT]</t>
        </is>
      </c>
      <c r="H26" s="13" t="inlineStr">
        <is>
          <t>Higher credit costs compress margins</t>
        </is>
      </c>
    </row>
    <row r="28">
      <c r="A28" s="3" t="inlineStr">
        <is>
          <t>D&amp;A (% of revenue)</t>
        </is>
      </c>
      <c r="B28" s="11" t="n">
        <v>0.06</v>
      </c>
      <c r="G28" s="14" t="inlineStr">
        <is>
          <t>[JUDGMENT]</t>
        </is>
      </c>
      <c r="H28" s="13" t="inlineStr">
        <is>
          <t>2025: 6.5%</t>
        </is>
      </c>
    </row>
    <row r="29">
      <c r="A29" s="3" t="inlineStr">
        <is>
          <t>Stock-based comp. (% of revenue)</t>
        </is>
      </c>
      <c r="B29" s="11" t="n">
        <v>0.07000000000000001</v>
      </c>
      <c r="C29" s="11" t="n">
        <v>0.065</v>
      </c>
      <c r="D29" s="11" t="n">
        <v>0.06</v>
      </c>
      <c r="E29" s="11" t="n">
        <v>0.055</v>
      </c>
      <c r="F29" s="11" t="n">
        <v>0.05</v>
      </c>
      <c r="G29" s="14" t="inlineStr">
        <is>
          <t>[JUDGMENT]</t>
        </is>
      </c>
      <c r="H29" s="13" t="inlineStr">
        <is>
          <t>2025: 7.3%; declining with scale</t>
        </is>
      </c>
    </row>
    <row r="30">
      <c r="A30" s="3" t="inlineStr">
        <is>
          <t>Capex (% of revenue)</t>
        </is>
      </c>
      <c r="B30" s="11" t="n">
        <v>0.06</v>
      </c>
      <c r="G30" s="14" t="inlineStr">
        <is>
          <t>[JUDGMENT]</t>
        </is>
      </c>
      <c r="H30" s="13" t="inlineStr">
        <is>
          <t>2025: 6.9%; tech platform investment</t>
        </is>
      </c>
    </row>
    <row r="31">
      <c r="A31" s="3" t="inlineStr">
        <is>
          <t>Balance-sheet reinvestment (% of revenue growth)</t>
        </is>
      </c>
      <c r="B31" s="11" t="n">
        <v>0.2</v>
      </c>
      <c r="G31" s="14" t="inlineStr">
        <is>
          <t>[JUDGMENT]</t>
        </is>
      </c>
      <c r="H31" s="13" t="inlineStr">
        <is>
          <t>Banks fund loan growth with deposits (operating liabilities); the equity slice retained to support balance-sheet growth is a fraction of revenue growth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8" t="n">
        <v>278.9</v>
      </c>
      <c r="G35" s="12" t="inlineStr">
        <is>
          <t>[DATA]</t>
        </is>
      </c>
      <c r="H35" s="13" t="inlineStr">
        <is>
          <t>Q2 2026: total debt 3,405.1 less cash &amp; equivalents 3,126.2 (corporate; deposits are operating liabilities)</t>
        </is>
      </c>
    </row>
    <row r="36">
      <c r="A36" s="3" t="inlineStr">
        <is>
          <t>Diluted shares outstanding (M)</t>
        </is>
      </c>
      <c r="B36" s="18" t="n">
        <v>1291.6</v>
      </c>
      <c r="G36" s="12" t="inlineStr">
        <is>
          <t>[DATA]</t>
        </is>
      </c>
      <c r="H36" s="13" t="inlineStr">
        <is>
          <t>Yahoo Finance shares outstanding, Oct 2026; FY2025 diluted weighted avg 1,251.8M; delta 3.2%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SOFI</t>
        </is>
      </c>
    </row>
    <row r="2" ht="18" customHeight="1">
      <c r="A2" s="2" t="inlineStr">
        <is>
          <t>$ millions. Source: Yahoo Finance annual statements (filing-derived), as of 2026-10-19. FY2021 column blank in source — excluded.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1573.5</v>
      </c>
      <c r="C4" s="21" t="n">
        <v>2108.2</v>
      </c>
      <c r="D4" s="21" t="n">
        <v>2612.3</v>
      </c>
      <c r="E4" s="21" t="n">
        <v>3613.4</v>
      </c>
    </row>
    <row r="5">
      <c r="A5" s="3" t="inlineStr">
        <is>
          <t>Net interest income</t>
        </is>
      </c>
      <c r="B5" s="21" t="n">
        <v>584.1</v>
      </c>
      <c r="C5" s="21" t="n">
        <v>1261.7</v>
      </c>
      <c r="D5" s="21" t="n">
        <v>1716.5</v>
      </c>
      <c r="E5" s="21" t="n">
        <v>2219</v>
      </c>
    </row>
    <row r="6">
      <c r="A6" s="3" t="inlineStr">
        <is>
          <t>Operating profit (pretax + D&amp;A)</t>
        </is>
      </c>
      <c r="B6" s="21" t="n">
        <v>-167.3</v>
      </c>
      <c r="C6" s="21" t="n">
        <v>-99.8</v>
      </c>
      <c r="D6" s="21" t="n">
        <v>436.8</v>
      </c>
      <c r="E6" s="21" t="n">
        <v>760.1</v>
      </c>
    </row>
    <row r="7">
      <c r="A7" s="3" t="inlineStr">
        <is>
          <t>Op. margin (pretax+D&amp;A)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Pretax income</t>
        </is>
      </c>
      <c r="B8" s="21" t="n">
        <v>-318.7</v>
      </c>
      <c r="C8" s="21" t="n">
        <v>-301.2</v>
      </c>
      <c r="D8" s="21" t="n">
        <v>233.3</v>
      </c>
      <c r="E8" s="21" t="n">
        <v>525.9</v>
      </c>
    </row>
    <row r="9">
      <c r="A9" s="3" t="inlineStr">
        <is>
          <t>Net income</t>
        </is>
      </c>
      <c r="B9" s="21" t="n">
        <v>-320.4</v>
      </c>
      <c r="C9" s="21" t="n">
        <v>-300.7</v>
      </c>
      <c r="D9" s="21" t="n">
        <v>498.7</v>
      </c>
      <c r="E9" s="21" t="n">
        <v>481.3</v>
      </c>
    </row>
    <row r="10">
      <c r="A10" s="3" t="inlineStr">
        <is>
          <t>Diluted average shares (M)</t>
        </is>
      </c>
      <c r="B10" s="21" t="n">
        <v>900.9</v>
      </c>
      <c r="C10" s="21" t="n">
        <v>945</v>
      </c>
      <c r="D10" s="21" t="n">
        <v>1101.4</v>
      </c>
      <c r="E10" s="21" t="n">
        <v>1251.8</v>
      </c>
    </row>
    <row r="11">
      <c r="A11" s="3" t="inlineStr">
        <is>
          <t>Operating cash flow</t>
        </is>
      </c>
      <c r="B11" s="21" t="n">
        <v>-7255.9</v>
      </c>
      <c r="C11" s="21" t="n">
        <v>-7227.1</v>
      </c>
      <c r="D11" s="21" t="n">
        <v>-1119.8</v>
      </c>
      <c r="E11" s="21" t="n">
        <v>-3742.5</v>
      </c>
    </row>
    <row r="12">
      <c r="A12" s="3" t="inlineStr">
        <is>
          <t>Capital expenditures</t>
        </is>
      </c>
      <c r="B12" s="21" t="n">
        <v>-103.7</v>
      </c>
      <c r="C12" s="21" t="n">
        <v>-121.2</v>
      </c>
      <c r="D12" s="21" t="n">
        <v>-163.6</v>
      </c>
      <c r="E12" s="21" t="n">
        <v>-251.1</v>
      </c>
    </row>
    <row r="13">
      <c r="A13" s="3" t="inlineStr">
        <is>
          <t>Free cash flow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</row>
    <row r="14">
      <c r="A14" s="3" t="inlineStr">
        <is>
          <t>Cash &amp; equivalents</t>
        </is>
      </c>
      <c r="B14" s="21" t="n">
        <v>1421.9</v>
      </c>
      <c r="C14" s="21" t="n">
        <v>3085</v>
      </c>
      <c r="D14" s="21" t="n">
        <v>2538.3</v>
      </c>
      <c r="E14" s="21" t="n">
        <v>4929.5</v>
      </c>
    </row>
    <row r="15">
      <c r="A15" s="3" t="inlineStr">
        <is>
          <t>Total debt</t>
        </is>
      </c>
      <c r="B15" s="21" t="n">
        <v>5634.4</v>
      </c>
      <c r="C15" s="21" t="n">
        <v>5362.6</v>
      </c>
      <c r="D15" s="21" t="n">
        <v>3204.2</v>
      </c>
      <c r="E15" s="21" t="n">
        <v>1934.6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SoFi Technologies, Inc. (SOFI)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Op. margin (pretax+D&amp;A)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Operating profit (pretax+D&amp;A)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Pretax income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Balance-sheet reinvestment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Free cash flow (equity proxy)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SoFi Technologies, Inc. (SOFI)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Op. margin (pretax+D&amp;A)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Operating profit (pretax+D&amp;A)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Pretax income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Balance-sheet reinvestment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Free cash flow (equity proxy)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SoFi Technologies, Inc. (SOFI)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Op. margin (pretax+D&amp;A)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Operating profit (pretax+D&amp;A)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Pretax income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Balance-sheet reinvestment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Free cash flow (equity proxy)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fintech</t>
        </is>
      </c>
    </row>
    <row r="2" ht="18" customHeight="1">
      <c r="A2" s="2" t="inlineStr">
        <is>
          <t>Market data as of 2026-10-19 (Yahoo Finance); prices are Oct 16, 2026 closes. $ millions, except price and per-share. EV = Oct 16 mcap + Q2 2026 total debt − Q2 2026 cash &amp; equivalents; revenue = FY2025 (filing-derived).</t>
        </is>
      </c>
    </row>
    <row r="3">
      <c r="A3" s="20" t="inlineStr"/>
      <c r="B3" s="20" t="inlineStr">
        <is>
          <t>SOFI</t>
        </is>
      </c>
      <c r="C3" s="20" t="inlineStr">
        <is>
          <t>HOOD</t>
        </is>
      </c>
      <c r="D3" s="20" t="inlineStr">
        <is>
          <t>COIN</t>
        </is>
      </c>
      <c r="E3" s="20" t="inlineStr">
        <is>
          <t>SCHW</t>
        </is>
      </c>
      <c r="F3" s="20" t="n"/>
    </row>
    <row r="4">
      <c r="A4" s="3" t="inlineStr">
        <is>
          <t>Price ($)</t>
        </is>
      </c>
      <c r="B4" s="23" t="n">
        <v>14.55</v>
      </c>
      <c r="C4" s="23" t="n">
        <v>98.87</v>
      </c>
      <c r="D4" s="23" t="n">
        <v>173.16</v>
      </c>
      <c r="E4" s="23" t="n">
        <v>91.95999999999999</v>
      </c>
    </row>
    <row r="5">
      <c r="A5" s="3" t="inlineStr">
        <is>
          <t>Market cap ($M)</t>
        </is>
      </c>
      <c r="B5" s="21" t="n">
        <v>18792.8</v>
      </c>
      <c r="C5" s="21" t="n">
        <v>88892.3</v>
      </c>
      <c r="D5" s="21" t="n">
        <v>45696.5</v>
      </c>
      <c r="E5" s="21" t="n">
        <v>159026.5</v>
      </c>
    </row>
    <row r="6">
      <c r="A6" s="3" t="inlineStr">
        <is>
          <t>Enterprise value ($M)</t>
        </is>
      </c>
      <c r="B6" s="21" t="n">
        <v>19071.7</v>
      </c>
      <c r="C6" s="21" t="n">
        <v>106236.3</v>
      </c>
      <c r="D6" s="21" t="n">
        <v>43750.7</v>
      </c>
      <c r="E6" s="21" t="n">
        <v>155791.5</v>
      </c>
    </row>
    <row r="7">
      <c r="A7" s="3" t="inlineStr">
        <is>
          <t>Revenue, FY2025 ($M)</t>
        </is>
      </c>
      <c r="B7" s="21" t="n">
        <v>3613.4</v>
      </c>
      <c r="C7" s="21" t="n">
        <v>4473</v>
      </c>
      <c r="D7" s="21" t="n">
        <v>7181.3</v>
      </c>
      <c r="E7" s="21" t="n">
        <v>23921</v>
      </c>
    </row>
    <row r="8">
      <c r="A8" s="3" t="inlineStr">
        <is>
          <t>EBITDA, FY2025 ($M)</t>
        </is>
      </c>
      <c r="B8" s="21" t="n">
        <v>760.1</v>
      </c>
      <c r="C8" s="21" t="n">
        <v>2180</v>
      </c>
      <c r="D8" s="21" t="n">
        <v>1795.9</v>
      </c>
      <c r="E8" s="21" t="n">
        <v>12821</v>
      </c>
      <c r="F8" s="9" t="inlineStr">
        <is>
          <t>Note: pretax+D&amp;A proxy</t>
        </is>
      </c>
    </row>
    <row r="9">
      <c r="A9" s="3" t="inlineStr">
        <is>
          <t>Forward EPS ($)</t>
        </is>
      </c>
      <c r="B9" s="23" t="n">
        <v>0.82</v>
      </c>
      <c r="C9" s="23" t="n">
        <v>3.43</v>
      </c>
      <c r="D9" s="23" t="n">
        <v>2.99</v>
      </c>
      <c r="E9" s="23" t="n">
        <v>7.85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s="24">
        <f>E6/E8</f>
        <v/>
      </c>
    </row>
    <row r="12">
      <c r="A12" s="3" t="inlineStr">
        <is>
          <t>Trailing P/E</t>
        </is>
      </c>
      <c r="B12" s="24" t="n">
        <v>29.72</v>
      </c>
      <c r="C12" s="24" t="n">
        <v>43.56</v>
      </c>
      <c r="D12" t="inlineStr">
        <is>
          <t>n/a</t>
        </is>
      </c>
      <c r="E12" s="24" t="n">
        <v>15.46</v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SOFI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Implied $18.00 — above market; peer multiples embed mature profitability SOFI has not yet reached, so the DCF is the binding lens.</t>
        </is>
      </c>
    </row>
    <row r="22">
      <c r="A22" s="3" t="inlineStr">
        <is>
          <t>Median peer forward P/E</t>
        </is>
      </c>
      <c r="B22" s="24">
        <f>MEDIAN(C13:E13)</f>
        <v/>
      </c>
    </row>
    <row r="23">
      <c r="A23" s="3" t="inlineStr">
        <is>
          <t>SOFI forward EPS ($)</t>
        </is>
      </c>
      <c r="B23" s="23">
        <f>B9</f>
        <v/>
      </c>
    </row>
    <row r="24">
      <c r="A24" s="10" t="inlineStr">
        <is>
          <t>Implied per share — forward P/E ($)</t>
        </is>
      </c>
      <c r="B24" s="23">
        <f>B22*B23</f>
        <v/>
      </c>
      <c r="C24" s="25" t="inlineStr">
        <is>
          <t>Implied $23.64 — operative with caution: $0.82 forward EPS is early-cycle; the DCF, which funds balance-sheet growth, is the binding lens.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Sensitivity — base-case per-share value ($)</t>
        </is>
      </c>
    </row>
    <row r="2" ht="18" customHeight="1">
      <c r="A2" s="2" t="inlineStr">
        <is>
          <t>Two-way sensitivity to WACC (±150 bps) and terminal growth (±100 bps). Live formulas off DCF_Base.</t>
        </is>
      </c>
    </row>
    <row r="3">
      <c r="A3" s="20" t="inlineStr">
        <is>
          <t>WACC \ g</t>
        </is>
      </c>
      <c r="B3" s="20">
        <f>Assumptions!$B$32-0.010</f>
        <v/>
      </c>
      <c r="C3" s="20">
        <f>Assumptions!$B$32-0.005</f>
        <v/>
      </c>
      <c r="D3" s="20">
        <f>Assumptions!$B$32</f>
        <v/>
      </c>
      <c r="E3" s="20">
        <f>Assumptions!$B$32+0.005</f>
        <v/>
      </c>
      <c r="F3" s="20">
        <f>Assumptions!$B$32+0.010</f>
        <v/>
      </c>
    </row>
    <row r="4">
      <c r="A4" s="26">
        <f>Assumptions!$B$15-0.015</f>
        <v/>
      </c>
      <c r="B4" s="23">
        <f>(((DCF_Base!B16/(1+$A4)^1+DCF_Base!C16/(1+$A4)^2+DCF_Base!D16/(1+$A4)^3+DCF_Base!E16/(1+$A4)^4+DCF_Base!F16/(1+$A4)^5)+((DCF_Base!$F$16*(1+B$3)/($A4-B$3))/(1+$A4)^5)-Assumptions!$B$35)/Assumptions!$B$36</f>
        <v/>
      </c>
      <c r="C4" s="23">
        <f>(((DCF_Base!B16/(1+$A4)^1+DCF_Base!C16/(1+$A4)^2+DCF_Base!D16/(1+$A4)^3+DCF_Base!E16/(1+$A4)^4+DCF_Base!F16/(1+$A4)^5)+((DCF_Base!$F$16*(1+C$3)/($A4-C$3))/(1+$A4)^5)-Assumptions!$B$35)/Assumptions!$B$36</f>
        <v/>
      </c>
      <c r="D4" s="23">
        <f>(((DCF_Base!B16/(1+$A4)^1+DCF_Base!C16/(1+$A4)^2+DCF_Base!D16/(1+$A4)^3+DCF_Base!E16/(1+$A4)^4+DCF_Base!F16/(1+$A4)^5)+((DCF_Base!$F$16*(1+D$3)/($A4-D$3))/(1+$A4)^5)-Assumptions!$B$35)/Assumptions!$B$36</f>
        <v/>
      </c>
      <c r="E4" s="23">
        <f>(((DCF_Base!B16/(1+$A4)^1+DCF_Base!C16/(1+$A4)^2+DCF_Base!D16/(1+$A4)^3+DCF_Base!E16/(1+$A4)^4+DCF_Base!F16/(1+$A4)^5)+((DCF_Base!$F$16*(1+E$3)/($A4-E$3))/(1+$A4)^5)-Assumptions!$B$35)/Assumptions!$B$36</f>
        <v/>
      </c>
      <c r="F4" s="23">
        <f>(((DCF_Base!B16/(1+$A4)^1+DCF_Base!C16/(1+$A4)^2+DCF_Base!D16/(1+$A4)^3+DCF_Base!E16/(1+$A4)^4+DCF_Base!F16/(1+$A4)^5)+((DCF_Base!$F$16*(1+F$3)/($A4-F$3))/(1+$A4)^5)-Assumptions!$B$35)/Assumptions!$B$36</f>
        <v/>
      </c>
    </row>
    <row r="5">
      <c r="A5" s="26">
        <f>Assumptions!$B$15-0.010</f>
        <v/>
      </c>
      <c r="B5" s="23">
        <f>(((DCF_Base!B16/(1+$A5)^1+DCF_Base!C16/(1+$A5)^2+DCF_Base!D16/(1+$A5)^3+DCF_Base!E16/(1+$A5)^4+DCF_Base!F16/(1+$A5)^5)+((DCF_Base!$F$16*(1+B$3)/($A5-B$3))/(1+$A5)^5)-Assumptions!$B$35)/Assumptions!$B$36</f>
        <v/>
      </c>
      <c r="C5" s="23">
        <f>(((DCF_Base!B16/(1+$A5)^1+DCF_Base!C16/(1+$A5)^2+DCF_Base!D16/(1+$A5)^3+DCF_Base!E16/(1+$A5)^4+DCF_Base!F16/(1+$A5)^5)+((DCF_Base!$F$16*(1+C$3)/($A5-C$3))/(1+$A5)^5)-Assumptions!$B$35)/Assumptions!$B$36</f>
        <v/>
      </c>
      <c r="D5" s="23">
        <f>(((DCF_Base!B16/(1+$A5)^1+DCF_Base!C16/(1+$A5)^2+DCF_Base!D16/(1+$A5)^3+DCF_Base!E16/(1+$A5)^4+DCF_Base!F16/(1+$A5)^5)+((DCF_Base!$F$16*(1+D$3)/($A5-D$3))/(1+$A5)^5)-Assumptions!$B$35)/Assumptions!$B$36</f>
        <v/>
      </c>
      <c r="E5" s="23">
        <f>(((DCF_Base!B16/(1+$A5)^1+DCF_Base!C16/(1+$A5)^2+DCF_Base!D16/(1+$A5)^3+DCF_Base!E16/(1+$A5)^4+DCF_Base!F16/(1+$A5)^5)+((DCF_Base!$F$16*(1+E$3)/($A5-E$3))/(1+$A5)^5)-Assumptions!$B$35)/Assumptions!$B$36</f>
        <v/>
      </c>
      <c r="F5" s="23">
        <f>(((DCF_Base!B16/(1+$A5)^1+DCF_Base!C16/(1+$A5)^2+DCF_Base!D16/(1+$A5)^3+DCF_Base!E16/(1+$A5)^4+DCF_Base!F16/(1+$A5)^5)+((DCF_Base!$F$16*(1+F$3)/($A5-F$3))/(1+$A5)^5)-Assumptions!$B$35)/Assumptions!$B$36</f>
        <v/>
      </c>
    </row>
    <row r="6">
      <c r="A6" s="26">
        <f>Assumptions!$B$15-0.005</f>
        <v/>
      </c>
      <c r="B6" s="23">
        <f>(((DCF_Base!B16/(1+$A6)^1+DCF_Base!C16/(1+$A6)^2+DCF_Base!D16/(1+$A6)^3+DCF_Base!E16/(1+$A6)^4+DCF_Base!F16/(1+$A6)^5)+((DCF_Base!$F$16*(1+B$3)/($A6-B$3))/(1+$A6)^5)-Assumptions!$B$35)/Assumptions!$B$36</f>
        <v/>
      </c>
      <c r="C6" s="23">
        <f>(((DCF_Base!B16/(1+$A6)^1+DCF_Base!C16/(1+$A6)^2+DCF_Base!D16/(1+$A6)^3+DCF_Base!E16/(1+$A6)^4+DCF_Base!F16/(1+$A6)^5)+((DCF_Base!$F$16*(1+C$3)/($A6-C$3))/(1+$A6)^5)-Assumptions!$B$35)/Assumptions!$B$36</f>
        <v/>
      </c>
      <c r="D6" s="23">
        <f>(((DCF_Base!B16/(1+$A6)^1+DCF_Base!C16/(1+$A6)^2+DCF_Base!D16/(1+$A6)^3+DCF_Base!E16/(1+$A6)^4+DCF_Base!F16/(1+$A6)^5)+((DCF_Base!$F$16*(1+D$3)/($A6-D$3))/(1+$A6)^5)-Assumptions!$B$35)/Assumptions!$B$36</f>
        <v/>
      </c>
      <c r="E6" s="23">
        <f>(((DCF_Base!B16/(1+$A6)^1+DCF_Base!C16/(1+$A6)^2+DCF_Base!D16/(1+$A6)^3+DCF_Base!E16/(1+$A6)^4+DCF_Base!F16/(1+$A6)^5)+((DCF_Base!$F$16*(1+E$3)/($A6-E$3))/(1+$A6)^5)-Assumptions!$B$35)/Assumptions!$B$36</f>
        <v/>
      </c>
      <c r="F6" s="23">
        <f>(((DCF_Base!B16/(1+$A6)^1+DCF_Base!C16/(1+$A6)^2+DCF_Base!D16/(1+$A6)^3+DCF_Base!E16/(1+$A6)^4+DCF_Base!F16/(1+$A6)^5)+((DCF_Base!$F$16*(1+F$3)/($A6-F$3))/(1+$A6)^5)-Assumptions!$B$35)/Assumptions!$B$36</f>
        <v/>
      </c>
    </row>
    <row r="7">
      <c r="A7" s="26">
        <f>Assumptions!$B$15</f>
        <v/>
      </c>
      <c r="B7" s="23">
        <f>(((DCF_Base!B16/(1+$A7)^1+DCF_Base!C16/(1+$A7)^2+DCF_Base!D16/(1+$A7)^3+DCF_Base!E16/(1+$A7)^4+DCF_Base!F16/(1+$A7)^5)+((DCF_Base!$F$16*(1+B$3)/($A7-B$3))/(1+$A7)^5)-Assumptions!$B$35)/Assumptions!$B$36</f>
        <v/>
      </c>
      <c r="C7" s="23">
        <f>(((DCF_Base!B16/(1+$A7)^1+DCF_Base!C16/(1+$A7)^2+DCF_Base!D16/(1+$A7)^3+DCF_Base!E16/(1+$A7)^4+DCF_Base!F16/(1+$A7)^5)+((DCF_Base!$F$16*(1+C$3)/($A7-C$3))/(1+$A7)^5)-Assumptions!$B$35)/Assumptions!$B$36</f>
        <v/>
      </c>
      <c r="D7" s="27">
        <f>(((DCF_Base!B16/(1+$A7)^1+DCF_Base!C16/(1+$A7)^2+DCF_Base!D16/(1+$A7)^3+DCF_Base!E16/(1+$A7)^4+DCF_Base!F16/(1+$A7)^5)+((DCF_Base!$F$16*(1+D$3)/($A7-D$3))/(1+$A7)^5)-Assumptions!$B$35)/Assumptions!$B$36</f>
        <v/>
      </c>
      <c r="E7" s="23">
        <f>(((DCF_Base!B16/(1+$A7)^1+DCF_Base!C16/(1+$A7)^2+DCF_Base!D16/(1+$A7)^3+DCF_Base!E16/(1+$A7)^4+DCF_Base!F16/(1+$A7)^5)+((DCF_Base!$F$16*(1+E$3)/($A7-E$3))/(1+$A7)^5)-Assumptions!$B$35)/Assumptions!$B$36</f>
        <v/>
      </c>
      <c r="F7" s="23">
        <f>(((DCF_Base!B16/(1+$A7)^1+DCF_Base!C16/(1+$A7)^2+DCF_Base!D16/(1+$A7)^3+DCF_Base!E16/(1+$A7)^4+DCF_Base!F16/(1+$A7)^5)+((DCF_Base!$F$16*(1+F$3)/($A7-F$3))/(1+$A7)^5)-Assumptions!$B$35)/Assumptions!$B$36</f>
        <v/>
      </c>
    </row>
    <row r="8">
      <c r="A8" s="26">
        <f>Assumptions!$B$15+0.005</f>
        <v/>
      </c>
      <c r="B8" s="23">
        <f>(((DCF_Base!B16/(1+$A8)^1+DCF_Base!C16/(1+$A8)^2+DCF_Base!D16/(1+$A8)^3+DCF_Base!E16/(1+$A8)^4+DCF_Base!F16/(1+$A8)^5)+((DCF_Base!$F$16*(1+B$3)/($A8-B$3))/(1+$A8)^5)-Assumptions!$B$35)/Assumptions!$B$36</f>
        <v/>
      </c>
      <c r="C8" s="23">
        <f>(((DCF_Base!B16/(1+$A8)^1+DCF_Base!C16/(1+$A8)^2+DCF_Base!D16/(1+$A8)^3+DCF_Base!E16/(1+$A8)^4+DCF_Base!F16/(1+$A8)^5)+((DCF_Base!$F$16*(1+C$3)/($A8-C$3))/(1+$A8)^5)-Assumptions!$B$35)/Assumptions!$B$36</f>
        <v/>
      </c>
      <c r="D8" s="23">
        <f>(((DCF_Base!B16/(1+$A8)^1+DCF_Base!C16/(1+$A8)^2+DCF_Base!D16/(1+$A8)^3+DCF_Base!E16/(1+$A8)^4+DCF_Base!F16/(1+$A8)^5)+((DCF_Base!$F$16*(1+D$3)/($A8-D$3))/(1+$A8)^5)-Assumptions!$B$35)/Assumptions!$B$36</f>
        <v/>
      </c>
      <c r="E8" s="23">
        <f>(((DCF_Base!B16/(1+$A8)^1+DCF_Base!C16/(1+$A8)^2+DCF_Base!D16/(1+$A8)^3+DCF_Base!E16/(1+$A8)^4+DCF_Base!F16/(1+$A8)^5)+((DCF_Base!$F$16*(1+E$3)/($A8-E$3))/(1+$A8)^5)-Assumptions!$B$35)/Assumptions!$B$36</f>
        <v/>
      </c>
      <c r="F8" s="23">
        <f>(((DCF_Base!B16/(1+$A8)^1+DCF_Base!C16/(1+$A8)^2+DCF_Base!D16/(1+$A8)^3+DCF_Base!E16/(1+$A8)^4+DCF_Base!F16/(1+$A8)^5)+((DCF_Base!$F$16*(1+F$3)/($A8-F$3))/(1+$A8)^5)-Assumptions!$B$35)/Assumptions!$B$36</f>
        <v/>
      </c>
    </row>
    <row r="9">
      <c r="A9" s="26">
        <f>Assumptions!$B$15+0.010</f>
        <v/>
      </c>
      <c r="B9" s="23">
        <f>(((DCF_Base!B16/(1+$A9)^1+DCF_Base!C16/(1+$A9)^2+DCF_Base!D16/(1+$A9)^3+DCF_Base!E16/(1+$A9)^4+DCF_Base!F16/(1+$A9)^5)+((DCF_Base!$F$16*(1+B$3)/($A9-B$3))/(1+$A9)^5)-Assumptions!$B$35)/Assumptions!$B$36</f>
        <v/>
      </c>
      <c r="C9" s="23">
        <f>(((DCF_Base!B16/(1+$A9)^1+DCF_Base!C16/(1+$A9)^2+DCF_Base!D16/(1+$A9)^3+DCF_Base!E16/(1+$A9)^4+DCF_Base!F16/(1+$A9)^5)+((DCF_Base!$F$16*(1+C$3)/($A9-C$3))/(1+$A9)^5)-Assumptions!$B$35)/Assumptions!$B$36</f>
        <v/>
      </c>
      <c r="D9" s="23">
        <f>(((DCF_Base!B16/(1+$A9)^1+DCF_Base!C16/(1+$A9)^2+DCF_Base!D16/(1+$A9)^3+DCF_Base!E16/(1+$A9)^4+DCF_Base!F16/(1+$A9)^5)+((DCF_Base!$F$16*(1+D$3)/($A9-D$3))/(1+$A9)^5)-Assumptions!$B$35)/Assumptions!$B$36</f>
        <v/>
      </c>
      <c r="E9" s="23">
        <f>(((DCF_Base!B16/(1+$A9)^1+DCF_Base!C16/(1+$A9)^2+DCF_Base!D16/(1+$A9)^3+DCF_Base!E16/(1+$A9)^4+DCF_Base!F16/(1+$A9)^5)+((DCF_Base!$F$16*(1+E$3)/($A9-E$3))/(1+$A9)^5)-Assumptions!$B$35)/Assumptions!$B$36</f>
        <v/>
      </c>
      <c r="F9" s="23">
        <f>(((DCF_Base!B16/(1+$A9)^1+DCF_Base!C16/(1+$A9)^2+DCF_Base!D16/(1+$A9)^3+DCF_Base!E16/(1+$A9)^4+DCF_Base!F16/(1+$A9)^5)+((DCF_Base!$F$16*(1+F$3)/($A9-F$3))/(1+$A9)^5)-Assumptions!$B$35)/Assumptions!$B$36</f>
        <v/>
      </c>
    </row>
    <row r="10">
      <c r="A10" s="26">
        <f>Assumptions!$B$15+0.015</f>
        <v/>
      </c>
      <c r="B10" s="23">
        <f>(((DCF_Base!B16/(1+$A10)^1+DCF_Base!C16/(1+$A10)^2+DCF_Base!D16/(1+$A10)^3+DCF_Base!E16/(1+$A10)^4+DCF_Base!F16/(1+$A10)^5)+((DCF_Base!$F$16*(1+B$3)/($A10-B$3))/(1+$A10)^5)-Assumptions!$B$35)/Assumptions!$B$36</f>
        <v/>
      </c>
      <c r="C10" s="23">
        <f>(((DCF_Base!B16/(1+$A10)^1+DCF_Base!C16/(1+$A10)^2+DCF_Base!D16/(1+$A10)^3+DCF_Base!E16/(1+$A10)^4+DCF_Base!F16/(1+$A10)^5)+((DCF_Base!$F$16*(1+C$3)/($A10-C$3))/(1+$A10)^5)-Assumptions!$B$35)/Assumptions!$B$36</f>
        <v/>
      </c>
      <c r="D10" s="23">
        <f>(((DCF_Base!B16/(1+$A10)^1+DCF_Base!C16/(1+$A10)^2+DCF_Base!D16/(1+$A10)^3+DCF_Base!E16/(1+$A10)^4+DCF_Base!F16/(1+$A10)^5)+((DCF_Base!$F$16*(1+D$3)/($A10-D$3))/(1+$A10)^5)-Assumptions!$B$35)/Assumptions!$B$36</f>
        <v/>
      </c>
      <c r="E10" s="23">
        <f>(((DCF_Base!B16/(1+$A10)^1+DCF_Base!C16/(1+$A10)^2+DCF_Base!D16/(1+$A10)^3+DCF_Base!E16/(1+$A10)^4+DCF_Base!F16/(1+$A10)^5)+((DCF_Base!$F$16*(1+E$3)/($A10-E$3))/(1+$A10)^5)-Assumptions!$B$35)/Assumptions!$B$36</f>
        <v/>
      </c>
      <c r="F10" s="23">
        <f>(((DCF_Base!B16/(1+$A10)^1+DCF_Base!C16/(1+$A10)^2+DCF_Base!D16/(1+$A10)^3+DCF_Base!E16/(1+$A10)^4+DCF_Base!F16/(1+$A10)^5)+((DCF_Base!$F$16*(1+F$3)/($A10-F$3))/(1+$A10)^5)-Assumptions!$B$35)/Assumptions!$B$36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8" t="inlineStr">
        <is>
          <t>Net income ties across statements</t>
        </is>
      </c>
      <c r="B4" s="8" t="inlineStr">
        <is>
          <t>Income-statement net income = cash-flow-statement starting net income for FY2022–2025 (max diff $0.0M)</t>
        </is>
      </c>
      <c r="C4" s="29" t="inlineStr">
        <is>
          <t>PASS</t>
        </is>
      </c>
    </row>
    <row r="5" ht="30" customHeight="1">
      <c r="A5" s="28" t="inlineStr">
        <is>
          <t>Revenue sourced from filings</t>
        </is>
      </c>
      <c r="B5" s="8" t="inlineStr">
        <is>
          <t>FY2022–2025 total revenue 1,573.5 / 2,108.2 / 2,612.3 / 3,613.4 ($M) from Yahoo Finance annual income statement; FY2021 column blank in source — excluded</t>
        </is>
      </c>
      <c r="C5" s="29" t="inlineStr">
        <is>
          <t>PASS</t>
        </is>
      </c>
    </row>
    <row r="6" ht="30" customHeight="1">
      <c r="A6" s="28" t="inlineStr">
        <is>
          <t>Bank-model adjustments disclosed</t>
        </is>
      </c>
      <c r="B6" s="8" t="inlineStr">
        <is>
          <t>No EBITDA/gross-profit rows exist for a bank; Historicals and DCF use operating profit = pretax income + D&amp;A (2025: $760.1M, 21.0% margin); cash-flow-statement OCF/FCF include loan-book flows and are shown as n/a — not used in valuation</t>
        </is>
      </c>
      <c r="C6" s="29" t="inlineStr">
        <is>
          <t>PASS</t>
        </is>
      </c>
    </row>
    <row r="7" ht="30" customHeight="1">
      <c r="A7" s="28" t="inlineStr">
        <is>
          <t>Share count</t>
        </is>
      </c>
      <c r="B7" s="8" t="inlineStr">
        <is>
          <t>1,291.6M outstanding (Yahoo Finance, Oct 2026); FY2025 diluted weighted avg 1,251.8M (10-K via Yahoo). Used 1,291.6M; delta 3.2%</t>
        </is>
      </c>
      <c r="C7" s="29" t="inlineStr">
        <is>
          <t>PASS</t>
        </is>
      </c>
    </row>
    <row r="8" ht="30" customHeight="1">
      <c r="A8" s="28" t="inlineStr">
        <is>
          <t>Net debt bridge</t>
        </is>
      </c>
      <c r="B8" s="8" t="inlineStr">
        <is>
          <t>Q2 2026 balance sheet: total debt $3,405.1M less cash &amp; equivalents $3,126.2M = net debt $278.9M (corporate; deposits are operating liabilities)</t>
        </is>
      </c>
      <c r="C8" s="29" t="inlineStr">
        <is>
          <t>PASS</t>
        </is>
      </c>
    </row>
    <row r="9" ht="30" customHeight="1">
      <c r="A9" s="28" t="inlineStr">
        <is>
          <t>Beta</t>
        </is>
      </c>
      <c r="B9" s="8" t="inlineStr">
        <is>
          <t>2.33 (Yahoo Finance, 2026-10-19); cross-checked 2.33 (MarketBeat), 2.29 (Finnhub)</t>
        </is>
      </c>
      <c r="C9" s="29" t="inlineStr">
        <is>
          <t>PASS</t>
        </is>
      </c>
    </row>
    <row r="10" ht="30" customHeight="1">
      <c r="A10" s="28" t="inlineStr">
        <is>
          <t>Risk-free rate</t>
        </is>
      </c>
      <c r="B10" s="8" t="inlineStr">
        <is>
          <t>US 10Y 5.1% on 2026-10-19 (verified for the sector project)</t>
        </is>
      </c>
      <c r="C10" s="29" t="inlineStr">
        <is>
          <t>PASS</t>
        </is>
      </c>
    </row>
    <row r="11" ht="30" customHeight="1">
      <c r="A11" s="28" t="inlineStr">
        <is>
          <t>Comps market data as-of</t>
        </is>
      </c>
      <c r="B11" s="8" t="inlineStr">
        <is>
          <t>HOOD / COIN / SCHW prices are Oct 16, 2026 closes; financials pulled 2026-10-19 via Yahoo Finance</t>
        </is>
      </c>
      <c r="C11" s="29" t="inlineStr">
        <is>
          <t>PASS</t>
        </is>
      </c>
    </row>
    <row r="12" ht="30" customHeight="1">
      <c r="A12" s="28" t="inlineStr">
        <is>
          <t>FCF bridge reconciles</t>
        </is>
      </c>
      <c r="B12" s="8" t="inlineStr">
        <is>
          <t>Formula check: EV = sum of PV of FCF + PV of terminal value</t>
        </is>
      </c>
      <c r="C12" s="29">
        <f>IF(ABS(DCF_Base!B22-(DCF_Base!B19+DCF_Base!B21))&lt;0.5,"PASS","FAIL")</f>
        <v/>
      </c>
    </row>
    <row r="13" ht="30" customHeight="1">
      <c r="A13" s="28" t="inlineStr">
        <is>
          <t>Per-share arithmetic</t>
        </is>
      </c>
      <c r="B13" s="8" t="inlineStr">
        <is>
          <t>Formula check: per-share = equity value / shares</t>
        </is>
      </c>
      <c r="C13" s="29">
        <f>IF(ABS(DCF_Base!B26-DCF_Base!B24/DCF_Base!B25)&lt;0.01,"PASS","FAIL")</f>
        <v/>
      </c>
    </row>
    <row r="14" ht="30" customHeight="1">
      <c r="A14" s="28" t="inlineStr">
        <is>
          <t>Sensitivity centers on base case</t>
        </is>
      </c>
      <c r="B14" s="8" t="inlineStr">
        <is>
          <t>Formula check: center cell of Sensitivity = DCF_Base per-share</t>
        </is>
      </c>
      <c r="C14" s="29">
        <f>IF(ABS(D7-DCF_Base!B26)&lt;0.05,"PASS","FAIL")</f>
        <v/>
      </c>
    </row>
    <row r="15" ht="30" customHeight="1">
      <c r="A15" s="28" t="inlineStr">
        <is>
          <t>DCF vs market gap is explainable</t>
        </is>
      </c>
      <c r="B15" s="8" t="inlineStr">
        <is>
          <t>Base per-share trails $14.55 because a 13.9% WACC (beta 2.33 × 5.1% risk-free) plus balance-sheet reinvestment discounts 20% revenue CAGR hard; even the bull case ($17.34) clears the quote by &lt;20%</t>
        </is>
      </c>
      <c r="C15" s="29" t="inlineStr">
        <is>
          <t>PASS</t>
        </is>
      </c>
    </row>
    <row r="16" ht="30" customHeight="1">
      <c r="A16" s="28" t="inlineStr">
        <is>
          <t>Tax normalization</t>
        </is>
      </c>
      <c r="B16" s="8" t="inlineStr">
        <is>
          <t>2024 tax provision was –$265.3M (valuation-allowance benefit); model uses 21% statutory forward — flagged as judgment on Assumptions</t>
        </is>
      </c>
      <c r="C16" s="29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30" t="n">
        <v>1</v>
      </c>
      <c r="B4" s="8" t="inlineStr">
        <is>
          <t>Yahoo Finance — SOFI quote &amp; financials</t>
        </is>
      </c>
      <c r="C4" s="31" t="inlineStr">
        <is>
          <t>https://finance.yahoo.com/quote/SOFI</t>
        </is>
      </c>
      <c r="D4" s="30" t="inlineStr">
        <is>
          <t>2026-10-19</t>
        </is>
      </c>
      <c r="E4" s="8" t="inlineStr">
        <is>
          <t>Price, beta, shares, annual/quarterly statements</t>
        </is>
      </c>
    </row>
    <row r="5" ht="28" customHeight="1">
      <c r="A5" s="30" t="n">
        <v>2</v>
      </c>
      <c r="B5" s="8" t="inlineStr">
        <is>
          <t>Yahoo Finance — HOOD</t>
        </is>
      </c>
      <c r="C5" s="31" t="inlineStr">
        <is>
          <t>https://finance.yahoo.com/quote/HOOD</t>
        </is>
      </c>
      <c r="D5" s="30" t="inlineStr">
        <is>
          <t>2026-10-19</t>
        </is>
      </c>
      <c r="E5" s="8" t="inlineStr">
        <is>
          <t>Comps market data</t>
        </is>
      </c>
    </row>
    <row r="6" ht="28" customHeight="1">
      <c r="A6" s="30" t="n">
        <v>3</v>
      </c>
      <c r="B6" s="8" t="inlineStr">
        <is>
          <t>Yahoo Finance — COIN</t>
        </is>
      </c>
      <c r="C6" s="31" t="inlineStr">
        <is>
          <t>https://finance.yahoo.com/quote/COIN</t>
        </is>
      </c>
      <c r="D6" s="30" t="inlineStr">
        <is>
          <t>2026-10-19</t>
        </is>
      </c>
      <c r="E6" s="8" t="inlineStr">
        <is>
          <t>Comps market data</t>
        </is>
      </c>
    </row>
    <row r="7" ht="28" customHeight="1">
      <c r="A7" s="30" t="n">
        <v>4</v>
      </c>
      <c r="B7" s="8" t="inlineStr">
        <is>
          <t>Yahoo Finance — SCHW</t>
        </is>
      </c>
      <c r="C7" s="31" t="inlineStr">
        <is>
          <t>https://finance.yahoo.com/quote/SCHW</t>
        </is>
      </c>
      <c r="D7" s="30" t="inlineStr">
        <is>
          <t>2026-10-19</t>
        </is>
      </c>
      <c r="E7" s="8" t="inlineStr">
        <is>
          <t>Comps market data</t>
        </is>
      </c>
    </row>
    <row r="8" ht="28" customHeight="1">
      <c r="A8" s="30" t="n">
        <v>5</v>
      </c>
      <c r="B8" s="8" t="inlineStr">
        <is>
          <t>Reuters — 10Y yield ~5.1% on Oct 19, 2026</t>
        </is>
      </c>
      <c r="C8" s="31" t="inlineStr">
        <is>
          <t>https://www.reuters.com/business/wall-st-futures-climb-ai-stocks-rebound-oil-yields-fall-2026-10-19/</t>
        </is>
      </c>
      <c r="D8" s="30" t="inlineStr">
        <is>
          <t>2026-10-19</t>
        </is>
      </c>
      <c r="E8" s="8" t="inlineStr">
        <is>
          <t>Risk-free rate</t>
        </is>
      </c>
    </row>
    <row r="9" ht="28" customHeight="1">
      <c r="A9" s="30" t="n">
        <v>6</v>
      </c>
      <c r="B9" s="8" t="inlineStr">
        <is>
          <t>MarketBeat via TickerReport — SOFI</t>
        </is>
      </c>
      <c r="C9" s="31" t="inlineStr">
        <is>
          <t>https://www.tickerreport.com/banking-finance/13625121/sofi-technologies-inc-nasdaqsofi-stock-has-consensus-price-target-of-22-20.html</t>
        </is>
      </c>
      <c r="D9" s="30" t="inlineStr">
        <is>
          <t>2026-10-19</t>
        </is>
      </c>
      <c r="E9" s="8" t="inlineStr">
        <is>
          <t>Beta (2.33), Q2 2026 results context ($0.12 EPS beat, revenue +42.5% YoY)</t>
        </is>
      </c>
    </row>
    <row r="10" ht="28" customHeight="1">
      <c r="A10" s="30" t="n">
        <v>7</v>
      </c>
      <c r="B10" s="8" t="inlineStr">
        <is>
          <t>Finnhub — SOFI</t>
        </is>
      </c>
      <c r="C10" s="31" t="inlineStr">
        <is>
          <t>https://finnhub.io/?q=%22SOFI%22</t>
        </is>
      </c>
      <c r="D10" s="30" t="inlineStr">
        <is>
          <t>2026-10-19</t>
        </is>
      </c>
      <c r="E10" s="8" t="inlineStr">
        <is>
          <t>Beta cross-check (2.29)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2026-10-19T15:37:39+00:00Z</dcterms:created>
  <dcterms:modified xmlns:dcterms="http://purl.org/dc/terms/" xmlns:xsi="http://www.w3.org/2001/XMLSchema-instance" xsi:type="dcterms:W3CDTF">2026-10-19T15:37:39+00:00Z</dcterms:modified>
</cp:coreProperties>
</file>